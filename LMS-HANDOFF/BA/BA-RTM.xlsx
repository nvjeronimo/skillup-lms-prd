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1" documentId="11_78C53D931F2D1515E4DC9E99467CDD57760DD9B4" xr6:coauthVersionLast="47" xr6:coauthVersionMax="47" xr10:uidLastSave="{D5B133AB-53D4-45C2-BF98-9F040CEA7293}"/>
  <bookViews>
    <workbookView xWindow="0" yWindow="0" windowWidth="16384" windowHeight="8192" tabRatio="500" activeTab="1" xr2:uid="{00000000-000D-0000-FFFF-FFFF00000000}"/>
  </bookViews>
  <sheets>
    <sheet name="RTM" sheetId="1" r:id="rId1"/>
    <sheet name="Phase Summary" sheetId="2" r:id="rId2"/>
    <sheet name="Priority breakdown" sheetId="3" r:id="rId3"/>
    <sheet name="Legend" sheetId="4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3" l="1"/>
  <c r="B5" i="3"/>
  <c r="B4" i="3"/>
  <c r="B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D18" i="2" s="1"/>
  <c r="C4" i="2"/>
  <c r="C18" i="2" s="1"/>
  <c r="K79" i="1"/>
  <c r="B79" i="1"/>
</calcChain>
</file>

<file path=xl/sharedStrings.xml><?xml version="1.0" encoding="utf-8"?>
<sst xmlns="http://schemas.openxmlformats.org/spreadsheetml/2006/main" count="901" uniqueCount="454">
  <si>
    <t>SkillUp LMS — Phase 1 Requirements Traceability Matrix</t>
  </si>
  <si>
    <t>Generated 2026-06-08 · Maps each FR to the user story, screen, components, business rules, edge cases, AC count, priority, and phase.</t>
  </si>
  <si>
    <t>FR ID</t>
  </si>
  <si>
    <t>Story ID</t>
  </si>
  <si>
    <t>Story Title</t>
  </si>
  <si>
    <t>Epic</t>
  </si>
  <si>
    <t>Screen Ref (Figma)</t>
  </si>
  <si>
    <t>Components</t>
  </si>
  <si>
    <t>Business Rules</t>
  </si>
  <si>
    <t>Edge Cases</t>
  </si>
  <si>
    <t>Priority</t>
  </si>
  <si>
    <t>Phase</t>
  </si>
  <si>
    <t>AC Count</t>
  </si>
  <si>
    <t>Status</t>
  </si>
  <si>
    <t>FR-001</t>
  </si>
  <si>
    <t>P1-01</t>
  </si>
  <si>
    <t>See enrolled courses on dashboard</t>
  </si>
  <si>
    <t>E1 Dashboard</t>
  </si>
  <si>
    <t>My Learning</t>
  </si>
  <si>
    <t>Course Card</t>
  </si>
  <si>
    <t>BR-30</t>
  </si>
  <si>
    <t>—</t>
  </si>
  <si>
    <t>P0</t>
  </si>
  <si>
    <t>Phase 1</t>
  </si>
  <si>
    <t>Draft</t>
  </si>
  <si>
    <t>FR-002</t>
  </si>
  <si>
    <t>P1-02</t>
  </si>
  <si>
    <t>Resume last viewed topic</t>
  </si>
  <si>
    <t>FR-003</t>
  </si>
  <si>
    <t>P1-03</t>
  </si>
  <si>
    <t>See next-live indicator within 7 days</t>
  </si>
  <si>
    <t>Course Card · Live Strip</t>
  </si>
  <si>
    <t>BR-31</t>
  </si>
  <si>
    <t>P1</t>
  </si>
  <si>
    <t>FR-004</t>
  </si>
  <si>
    <t>P1-04</t>
  </si>
  <si>
    <t>See course metadata at a glance</t>
  </si>
  <si>
    <t>Course Card · Badges</t>
  </si>
  <si>
    <t>FR-005</t>
  </si>
  <si>
    <t>P1-05</t>
  </si>
  <si>
    <t>Navigate course via sidebar</t>
  </si>
  <si>
    <t>E2 Player chrome</t>
  </si>
  <si>
    <t>Video player screens</t>
  </si>
  <si>
    <t>Sidebar v2 (Expanded)</t>
  </si>
  <si>
    <t>BR-06, BR-34</t>
  </si>
  <si>
    <t>FR-006</t>
  </si>
  <si>
    <t>P1-06</t>
  </si>
  <si>
    <t>Collapse sidebar</t>
  </si>
  <si>
    <t>Sidebar v2 (Collapsed)</t>
  </si>
  <si>
    <t>FR-007</t>
  </si>
  <si>
    <t>P1-07</t>
  </si>
  <si>
    <t>Mobile sidebar drawer</t>
  </si>
  <si>
    <t>Mobile variants</t>
  </si>
  <si>
    <t>Sidebar v2 (Mobile)</t>
  </si>
  <si>
    <t>EC-17</t>
  </si>
  <si>
    <t>FR-008</t>
  </si>
  <si>
    <t>P1-08</t>
  </si>
  <si>
    <t>Course progress in topbar</t>
  </si>
  <si>
    <t>All player screens</t>
  </si>
  <si>
    <t>Course Player Topbar</t>
  </si>
  <si>
    <t>FR-009</t>
  </si>
  <si>
    <t>P1-09</t>
  </si>
  <si>
    <t>Open AI panel</t>
  </si>
  <si>
    <t>AI Panel (Ask/Chat/Related)</t>
  </si>
  <si>
    <t>EC-37, EC-38, EC-39</t>
  </si>
  <si>
    <t>FR-010</t>
  </si>
  <si>
    <t>P1-10</t>
  </si>
  <si>
    <t>Play/pause video</t>
  </si>
  <si>
    <t>E3 Video</t>
  </si>
  <si>
    <t>Video · Transcript</t>
  </si>
  <si>
    <t>Video Player</t>
  </si>
  <si>
    <t>FR-011</t>
  </si>
  <si>
    <t>P1-11</t>
  </si>
  <si>
    <t>Seek video</t>
  </si>
  <si>
    <t>FR-012</t>
  </si>
  <si>
    <t>P1-12</t>
  </si>
  <si>
    <t>Change playback speed</t>
  </si>
  <si>
    <t>FR-013</t>
  </si>
  <si>
    <t>P1-13</t>
  </si>
  <si>
    <t>Toggle captions + language</t>
  </si>
  <si>
    <t>Video Chrome Footer</t>
  </si>
  <si>
    <t>EC-04</t>
  </si>
  <si>
    <t>FR-014</t>
  </si>
  <si>
    <t>P1-14</t>
  </si>
  <si>
    <t>Fullscreen video</t>
  </si>
  <si>
    <t>FR-015</t>
  </si>
  <si>
    <t>P1-15</t>
  </si>
  <si>
    <t>Download transcript</t>
  </si>
  <si>
    <t>FR-016</t>
  </si>
  <si>
    <t>P1-16</t>
  </si>
  <si>
    <t>See video license info</t>
  </si>
  <si>
    <t>P2</t>
  </si>
  <si>
    <t>FR-017</t>
  </si>
  <si>
    <t>P1-17</t>
  </si>
  <si>
    <t>Video error states</t>
  </si>
  <si>
    <t>Edge cases wrapper</t>
  </si>
  <si>
    <t>Video Player (Error variant)</t>
  </si>
  <si>
    <t>EC-01, EC-02, EC-03</t>
  </si>
  <si>
    <t>FR-018</t>
  </si>
  <si>
    <t>P1-18</t>
  </si>
  <si>
    <t>Transcript auto-scroll to active line</t>
  </si>
  <si>
    <t>E4 Transcript</t>
  </si>
  <si>
    <t>Transcript Line</t>
  </si>
  <si>
    <t>BR-11</t>
  </si>
  <si>
    <t>FR-019</t>
  </si>
  <si>
    <t>P1-19</t>
  </si>
  <si>
    <t>Click transcript line to seek</t>
  </si>
  <si>
    <t>FR-020</t>
  </si>
  <si>
    <t>P1-20</t>
  </si>
  <si>
    <t>Pause auto-scroll on user scroll</t>
  </si>
  <si>
    <t>Resume Follow Pill</t>
  </si>
  <si>
    <t>FR-021</t>
  </si>
  <si>
    <t>P1-21</t>
  </si>
  <si>
    <t>Transcript empty state</t>
  </si>
  <si>
    <t>Edge cases</t>
  </si>
  <si>
    <t>Empty State</t>
  </si>
  <si>
    <t>EC-03</t>
  </si>
  <si>
    <t>FR-022</t>
  </si>
  <si>
    <t>P1-22</t>
  </si>
  <si>
    <t>Add note to transcript line</t>
  </si>
  <si>
    <t>E5 Notes</t>
  </si>
  <si>
    <t>Video · Notes + Note Modal</t>
  </si>
  <si>
    <t>Note Editor Modal</t>
  </si>
  <si>
    <t>FR-023</t>
  </si>
  <si>
    <t>P1-23</t>
  </si>
  <si>
    <t>Edit existing note</t>
  </si>
  <si>
    <t>FR-024</t>
  </si>
  <si>
    <t>P1-24</t>
  </si>
  <si>
    <t>Delete note</t>
  </si>
  <si>
    <t>Video · Notes</t>
  </si>
  <si>
    <t>Note Item</t>
  </si>
  <si>
    <t>BR-37</t>
  </si>
  <si>
    <t>FR-025</t>
  </si>
  <si>
    <t>P1-25</t>
  </si>
  <si>
    <t>Tag note</t>
  </si>
  <si>
    <t>Tag chip + input</t>
  </si>
  <si>
    <t>BR-13</t>
  </si>
  <si>
    <t>EC-08</t>
  </si>
  <si>
    <t>FR-026</t>
  </si>
  <si>
    <t>P1-26</t>
  </si>
  <si>
    <t>List notes on Notes tab</t>
  </si>
  <si>
    <t>Note Item · Empty State</t>
  </si>
  <si>
    <t>FR-027</t>
  </si>
  <si>
    <t>P1-27</t>
  </si>
  <si>
    <t>Note save failures + drafts</t>
  </si>
  <si>
    <t>Inline Alert</t>
  </si>
  <si>
    <t>EC-05</t>
  </si>
  <si>
    <t>FR-028</t>
  </si>
  <si>
    <t>P1-28</t>
  </si>
  <si>
    <t>Orphaned note warning</t>
  </si>
  <si>
    <t>Note Item · Warning state</t>
  </si>
  <si>
    <t>EC-06</t>
  </si>
  <si>
    <t>FR-029</t>
  </si>
  <si>
    <t>P1-29</t>
  </si>
  <si>
    <t>See downloadable files</t>
  </si>
  <si>
    <t>E6 Downloads</t>
  </si>
  <si>
    <t>Video · Downloads</t>
  </si>
  <si>
    <t>File Item · Empty State</t>
  </si>
  <si>
    <t>FR-030</t>
  </si>
  <si>
    <t>P1-30</t>
  </si>
  <si>
    <t>Download a file</t>
  </si>
  <si>
    <t>File Item</t>
  </si>
  <si>
    <t>FR-031</t>
  </si>
  <si>
    <t>P1-31</t>
  </si>
  <si>
    <t>Download failure handling</t>
  </si>
  <si>
    <t>File Item · Error</t>
  </si>
  <si>
    <t>EC-10</t>
  </si>
  <si>
    <t>FR-032</t>
  </si>
  <si>
    <t>P1-32</t>
  </si>
  <si>
    <t>Bookmark from sidebar</t>
  </si>
  <si>
    <t>E7 Bookmarks</t>
  </si>
  <si>
    <t>Topic Row · Bookmark Toast</t>
  </si>
  <si>
    <t>BR-09, BR-10, BR-21</t>
  </si>
  <si>
    <t>FR-033</t>
  </si>
  <si>
    <t>P1-33</t>
  </si>
  <si>
    <t>Bookmark from topbar</t>
  </si>
  <si>
    <t>Topbar Saved icon</t>
  </si>
  <si>
    <t>FR-034</t>
  </si>
  <si>
    <t>P1-34</t>
  </si>
  <si>
    <t>Bookmark persistence</t>
  </si>
  <si>
    <t>Backend sync</t>
  </si>
  <si>
    <t>BR-09, BR-35</t>
  </si>
  <si>
    <t>FR-035</t>
  </si>
  <si>
    <t>P1-35</t>
  </si>
  <si>
    <t>Bookmark save failure</t>
  </si>
  <si>
    <t>Toast (error)</t>
  </si>
  <si>
    <t>EC-09</t>
  </si>
  <si>
    <t>FR-036</t>
  </si>
  <si>
    <t>P1-36</t>
  </si>
  <si>
    <t>Open notifications panel</t>
  </si>
  <si>
    <t>E8 Notifications</t>
  </si>
  <si>
    <t>Notifications panel</t>
  </si>
  <si>
    <t>Overlay Panel chrome</t>
  </si>
  <si>
    <t>FR-037</t>
  </si>
  <si>
    <t>P1-37</t>
  </si>
  <si>
    <t>Group by type + date</t>
  </si>
  <si>
    <t>Tab button base + Section labels</t>
  </si>
  <si>
    <t>BR-14, BR-15</t>
  </si>
  <si>
    <t>FR-038</t>
  </si>
  <si>
    <t>P1-38</t>
  </si>
  <si>
    <t>Mark notifications read</t>
  </si>
  <si>
    <t>Notification Item · Mark all read action</t>
  </si>
  <si>
    <t>BR-16</t>
  </si>
  <si>
    <t>FR-039</t>
  </si>
  <si>
    <t>P1-39</t>
  </si>
  <si>
    <t>Type-specific notification rendering</t>
  </si>
  <si>
    <t>Notification Item · Icon variants</t>
  </si>
  <si>
    <t>BR-14</t>
  </si>
  <si>
    <t>FR-040</t>
  </si>
  <si>
    <t>P1-40</t>
  </si>
  <si>
    <t>Empty notifications per tab</t>
  </si>
  <si>
    <t>EC-18</t>
  </si>
  <si>
    <t>FR-041</t>
  </si>
  <si>
    <t>P1-41</t>
  </si>
  <si>
    <t>Notification fetch error</t>
  </si>
  <si>
    <t>EC-19</t>
  </si>
  <si>
    <t>FR-042</t>
  </si>
  <si>
    <t>P1-42</t>
  </si>
  <si>
    <t>Open saved panel</t>
  </si>
  <si>
    <t>E9 Saved</t>
  </si>
  <si>
    <t>Saved panel</t>
  </si>
  <si>
    <t>FR-043</t>
  </si>
  <si>
    <t>P1-43</t>
  </si>
  <si>
    <t>Filter saved items</t>
  </si>
  <si>
    <t>Tab button base (Button gray)</t>
  </si>
  <si>
    <t>FR-044</t>
  </si>
  <si>
    <t>P1-44</t>
  </si>
  <si>
    <t>Navigate from saved item</t>
  </si>
  <si>
    <t>Saved Topic + Saved Note items</t>
  </si>
  <si>
    <t>FR-045</t>
  </si>
  <si>
    <t>P1-45</t>
  </si>
  <si>
    <t>Saved empty + broken states</t>
  </si>
  <si>
    <t>Empty State + Warning row</t>
  </si>
  <si>
    <t>EC-21, EC-22</t>
  </si>
  <si>
    <t>FR-046</t>
  </si>
  <si>
    <t>P1-46</t>
  </si>
  <si>
    <t>Auto-complete Video at 90%</t>
  </si>
  <si>
    <t>E10 Completion</t>
  </si>
  <si>
    <t>Sidebar Topic Row state machine</t>
  </si>
  <si>
    <t>BR-01</t>
  </si>
  <si>
    <t>FR-047</t>
  </si>
  <si>
    <t>P1-47</t>
  </si>
  <si>
    <t>Manual complete for Reading-like</t>
  </si>
  <si>
    <t>Reading/Lab/Activity (P1.5)</t>
  </si>
  <si>
    <t>Mark Complete button</t>
  </si>
  <si>
    <t>Phase 1.5</t>
  </si>
  <si>
    <t>FR-048</t>
  </si>
  <si>
    <t>P1-48</t>
  </si>
  <si>
    <t>Module progress updates on complete</t>
  </si>
  <si>
    <t>Sidebar Module Header</t>
  </si>
  <si>
    <t>BR-02, BR-04, BR-06</t>
  </si>
  <si>
    <t>FR-049</t>
  </si>
  <si>
    <t>P1-49</t>
  </si>
  <si>
    <t>Optional topics don't gate</t>
  </si>
  <si>
    <t>Sidebar</t>
  </si>
  <si>
    <t>Topic Row · Optional badge</t>
  </si>
  <si>
    <t>BR-08</t>
  </si>
  <si>
    <t>FR-050</t>
  </si>
  <si>
    <t>P1-50</t>
  </si>
  <si>
    <t>Locked module entry blocked</t>
  </si>
  <si>
    <t>Player content area</t>
  </si>
  <si>
    <t>Lock state</t>
  </si>
  <si>
    <t>EC-15</t>
  </si>
  <si>
    <t>FR-051</t>
  </si>
  <si>
    <t>P1-51</t>
  </si>
  <si>
    <t>Course complete modal</t>
  </si>
  <si>
    <t>E11 Certificate</t>
  </si>
  <si>
    <t>Course Complete Modal</t>
  </si>
  <si>
    <t>Modal · Course Complete</t>
  </si>
  <si>
    <t>BR-03</t>
  </si>
  <si>
    <t>FR-052</t>
  </si>
  <si>
    <t>P1-52</t>
  </si>
  <si>
    <t>View certificate</t>
  </si>
  <si>
    <t>Certificate</t>
  </si>
  <si>
    <t>Certificate page</t>
  </si>
  <si>
    <t>BR-25</t>
  </si>
  <si>
    <t>EC-31</t>
  </si>
  <si>
    <t>FR-053</t>
  </si>
  <si>
    <t>P1-53</t>
  </si>
  <si>
    <t>Share certificate</t>
  </si>
  <si>
    <t>Share menu</t>
  </si>
  <si>
    <t>BR-27</t>
  </si>
  <si>
    <t>FR-054</t>
  </si>
  <si>
    <t>P1-54</t>
  </si>
  <si>
    <t>Print certificate</t>
  </si>
  <si>
    <t>Print button + print stylesheet</t>
  </si>
  <si>
    <t>FR-055</t>
  </si>
  <si>
    <t>P1-55</t>
  </si>
  <si>
    <t>Certificate verification (public)</t>
  </si>
  <si>
    <t>Verify URL page</t>
  </si>
  <si>
    <t>Verification page</t>
  </si>
  <si>
    <t>BR-26</t>
  </si>
  <si>
    <t>EC-32</t>
  </si>
  <si>
    <t>FR-056</t>
  </si>
  <si>
    <t>P1-56</t>
  </si>
  <si>
    <t>See assignment requirements</t>
  </si>
  <si>
    <t>E12 Peer-graded</t>
  </si>
  <si>
    <t>Peer-graded Assignment</t>
  </si>
  <si>
    <t>Assignment Intro molecule</t>
  </si>
  <si>
    <t>FR-057</t>
  </si>
  <si>
    <t>P1-57</t>
  </si>
  <si>
    <t>Upload submission files</t>
  </si>
  <si>
    <t>File Upload Zone</t>
  </si>
  <si>
    <t>EC-29</t>
  </si>
  <si>
    <t>FR-058</t>
  </si>
  <si>
    <t>P1-58</t>
  </si>
  <si>
    <t>Submit assignment</t>
  </si>
  <si>
    <t>Submit button + confirm modal</t>
  </si>
  <si>
    <t>FR-059</t>
  </si>
  <si>
    <t>P1-59</t>
  </si>
  <si>
    <t>Review peer submissions</t>
  </si>
  <si>
    <t>Peer review (P1.5)</t>
  </si>
  <si>
    <t>Peer review queue</t>
  </si>
  <si>
    <t>EC-27, EC-28</t>
  </si>
  <si>
    <t>FR-060</t>
  </si>
  <si>
    <t>P1-60</t>
  </si>
  <si>
    <t>Deadline handling</t>
  </si>
  <si>
    <t>Deadline confirm modal</t>
  </si>
  <si>
    <t>EC-30</t>
  </si>
  <si>
    <t>FR-061</t>
  </si>
  <si>
    <t>P1-61</t>
  </si>
  <si>
    <t>Receive peer grade notification</t>
  </si>
  <si>
    <t>Notification Item · peer_review</t>
  </si>
  <si>
    <t>FR-062</t>
  </si>
  <si>
    <t>P1-62</t>
  </si>
  <si>
    <t>Pre-live state 15 min before</t>
  </si>
  <si>
    <t>E13 VILT</t>
  </si>
  <si>
    <t>VILT Join Live</t>
  </si>
  <si>
    <t>Live Control Bar (pre-live)</t>
  </si>
  <si>
    <t>BR-07, BR-22</t>
  </si>
  <si>
    <t>FR-063</t>
  </si>
  <si>
    <t>P1-63</t>
  </si>
  <si>
    <t>Join live session</t>
  </si>
  <si>
    <t>Live Control Bar (live)</t>
  </si>
  <si>
    <t>BR-23</t>
  </si>
  <si>
    <t>FR-064</t>
  </si>
  <si>
    <t>P1-64</t>
  </si>
  <si>
    <t>Late join handling</t>
  </si>
  <si>
    <t>VILT Live</t>
  </si>
  <si>
    <t>Late join indicator</t>
  </si>
  <si>
    <t>EC-24</t>
  </si>
  <si>
    <t>FR-065</t>
  </si>
  <si>
    <t>P1-65</t>
  </si>
  <si>
    <t>Post-live recording</t>
  </si>
  <si>
    <t>Recording (post-live)</t>
  </si>
  <si>
    <t>Topic Row · Recording type</t>
  </si>
  <si>
    <t>BR-24</t>
  </si>
  <si>
    <t>EC-26</t>
  </si>
  <si>
    <t>FR-066</t>
  </si>
  <si>
    <t>P1-66</t>
  </si>
  <si>
    <t>Keyboard navigation</t>
  </si>
  <si>
    <t>E14 A11y</t>
  </si>
  <si>
    <t>BR-38</t>
  </si>
  <si>
    <t>FR-067</t>
  </si>
  <si>
    <t>P1-67</t>
  </si>
  <si>
    <t>Screen reader announcements</t>
  </si>
  <si>
    <t>aria-live regions</t>
  </si>
  <si>
    <t>FR-068</t>
  </si>
  <si>
    <t>P1-68</t>
  </si>
  <si>
    <t>ARIA labels on icon buttons</t>
  </si>
  <si>
    <t>All icon buttons</t>
  </si>
  <si>
    <t>FR-069</t>
  </si>
  <si>
    <t>P1-69</t>
  </si>
  <si>
    <t>WCAG AA color contrast</t>
  </si>
  <si>
    <t>All screens</t>
  </si>
  <si>
    <t>Design tokens (LMS/*)</t>
  </si>
  <si>
    <t>FR-070</t>
  </si>
  <si>
    <t>P1-70</t>
  </si>
  <si>
    <t>Reduced motion respected</t>
  </si>
  <si>
    <t>Animation rules</t>
  </si>
  <si>
    <t>BR-39</t>
  </si>
  <si>
    <t>FR-071</t>
  </si>
  <si>
    <t>P1-71</t>
  </si>
  <si>
    <t>Touch targets ≥ 44px on mobile</t>
  </si>
  <si>
    <t>Interactive elements</t>
  </si>
  <si>
    <t>FR-072</t>
  </si>
  <si>
    <t>P1-72</t>
  </si>
  <si>
    <t>Analytics events fire</t>
  </si>
  <si>
    <t>Analytics layer</t>
  </si>
  <si>
    <t>BR-41, BR-42</t>
  </si>
  <si>
    <t>FR-073</t>
  </si>
  <si>
    <t>P1-73</t>
  </si>
  <si>
    <t>Generic error handling</t>
  </si>
  <si>
    <t>App-wide</t>
  </si>
  <si>
    <t>Toast + error tracking</t>
  </si>
  <si>
    <t>EC-40</t>
  </si>
  <si>
    <t>TOTAL</t>
  </si>
  <si>
    <t>Phase 1 Build Summary</t>
  </si>
  <si>
    <t>Stories</t>
  </si>
  <si>
    <t>P0 count</t>
  </si>
  <si>
    <t>AC count</t>
  </si>
  <si>
    <t>E1 · Dashboard + course entry</t>
  </si>
  <si>
    <t>E2 · Course Player chrome</t>
  </si>
  <si>
    <t>E3 · Video playback</t>
  </si>
  <si>
    <t>E4 · Transcript + auto-scroll</t>
  </si>
  <si>
    <t>E5 · Notes (transcript-anchored)</t>
  </si>
  <si>
    <t>E6 · Downloads</t>
  </si>
  <si>
    <t>E7 · Bookmarks</t>
  </si>
  <si>
    <t>E8 · Notifications panel</t>
  </si>
  <si>
    <t>E9 · Saved panel</t>
  </si>
  <si>
    <t>E10 · Topic completion</t>
  </si>
  <si>
    <t>E11 · Course completion + Cert</t>
  </si>
  <si>
    <t>E12 · Peer-graded Assignment</t>
  </si>
  <si>
    <t>E13 · VILT Join Live</t>
  </si>
  <si>
    <t>E14 · A11y + analytics + edges</t>
  </si>
  <si>
    <t>Priority breakdown</t>
  </si>
  <si>
    <t>Count</t>
  </si>
  <si>
    <t>Meaning</t>
  </si>
  <si>
    <t>Must-have for Phase 1 launch. No flexibility.</t>
  </si>
  <si>
    <t>Should-have. Cut last if scope pressure.</t>
  </si>
  <si>
    <t>Nice-to-have. Likely Phase 1.5.</t>
  </si>
  <si>
    <t>Legend + codes</t>
  </si>
  <si>
    <t>Code prefix</t>
  </si>
  <si>
    <t>Source doc</t>
  </si>
  <si>
    <t>FR-XXX</t>
  </si>
  <si>
    <t>Functional Requirement ID — unique across the project</t>
  </si>
  <si>
    <t>This RTM</t>
  </si>
  <si>
    <t>P1-XX</t>
  </si>
  <si>
    <t>Phase 1 User Story ID</t>
  </si>
  <si>
    <t>02-user-stories-phase1.md</t>
  </si>
  <si>
    <t>E1..E14</t>
  </si>
  <si>
    <t>Epic IDs — group of related stories</t>
  </si>
  <si>
    <t>BR-XX</t>
  </si>
  <si>
    <t>Business Rule ID</t>
  </si>
  <si>
    <t>03-business-rules.md</t>
  </si>
  <si>
    <t>EC-XX</t>
  </si>
  <si>
    <t>Edge Case / Failure mode ID</t>
  </si>
  <si>
    <t>04-edge-cases-failures.md</t>
  </si>
  <si>
    <t>P0/P1/P2</t>
  </si>
  <si>
    <t>Priority: must / should / could</t>
  </si>
  <si>
    <t>PM call, can shift</t>
  </si>
  <si>
    <t>In current build target</t>
  </si>
  <si>
    <t>05-feature-roadmap.md</t>
  </si>
  <si>
    <t>Fast-follow within 4 weeks of Phase 1</t>
  </si>
  <si>
    <t>Phase 2</t>
  </si>
  <si>
    <t>Engagement + scale features</t>
  </si>
  <si>
    <t>Phase 3</t>
  </si>
  <si>
    <t>Platform expansion</t>
  </si>
  <si>
    <t>Status workflow</t>
  </si>
  <si>
    <t>Story drafted by design + Nelson. Not yet BA-validated.</t>
  </si>
  <si>
    <t>Refined</t>
  </si>
  <si>
    <t>BA reviewed + sharpened AC. Ready for estimation.</t>
  </si>
  <si>
    <t>Estimated</t>
  </si>
  <si>
    <t>T-shirt sized by engineering.</t>
  </si>
  <si>
    <t>In Progress</t>
  </si>
  <si>
    <t>Build started.</t>
  </si>
  <si>
    <t>In QA</t>
  </si>
  <si>
    <t>Build done, QA testing.</t>
  </si>
  <si>
    <t>Done</t>
  </si>
  <si>
    <t>AC verified, in production behind feature flag or live.</t>
  </si>
  <si>
    <t>Blocked</t>
  </si>
  <si>
    <t>Something stopping progress. See Notes.</t>
  </si>
  <si>
    <t>Cut</t>
  </si>
  <si>
    <t>Removed from scope. Logged for Phase 1.5+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</si>
</sst>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b/>
      <sz val="14"/>
      <color rgb="FF13282F"/>
      <name val="Arial"/>
      <charset val="1"/>
    </font>
    <font>
      <i/>
      <sz val="10"/>
      <color rgb="FF606B7A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13282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3282F"/>
        <bgColor rgb="FF003300"/>
      </patternFill>
    </fill>
  </fills>
  <borders count="2">
    <border>
      <left/>
      <right/>
      <top/>
      <bottom/>
      <diagonal/>
    </border>
    <border>
      <left style="thin">
        <color rgb="FFD5DCE4"/>
      </left>
      <right style="thin">
        <color rgb="FFD5DCE4"/>
      </right>
      <top style="thin">
        <color rgb="FFD5DCE4"/>
      </top>
      <bottom style="thin">
        <color rgb="FFD5D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6" fillId="0" borderId="0" xfId="0" applyFont="1"/>
    <xf numFmtId="0" fontId="3" fillId="2" borderId="0" xfId="0" applyFont="1" applyFill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3">
    <dxf>
      <fill>
        <patternFill>
          <bgColor rgb="FFDCFAE6"/>
        </patternFill>
      </fill>
    </dxf>
    <dxf>
      <fill>
        <patternFill>
          <bgColor rgb="FFFEF0C7"/>
        </patternFill>
      </fill>
    </dxf>
    <dxf>
      <fill>
        <patternFill>
          <bgColor rgb="FFFEE4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0C7"/>
      <rgbColor rgb="FFDCFAE6"/>
      <rgbColor rgb="FF660066"/>
      <rgbColor rgb="FFFF8080"/>
      <rgbColor rgb="FF0066CC"/>
      <rgbColor rgb="FFD5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4E2"/>
      <rgbColor rgb="FF3366FF"/>
      <rgbColor rgb="FF33CCCC"/>
      <rgbColor rgb="FF99CC00"/>
      <rgbColor rgb="FFFFCC00"/>
      <rgbColor rgb="FFFF9900"/>
      <rgbColor rgb="FFFF6600"/>
      <rgbColor rgb="FF606B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328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zoomScaleNormal="100" workbookViewId="0">
      <pane ySplit="4" topLeftCell="A15" activePane="bottomLeft" state="frozen"/>
      <selection pane="bottomLeft"/>
    </sheetView>
  </sheetViews>
  <sheetFormatPr defaultColWidth="8.7109375" defaultRowHeight="15"/>
  <cols>
    <col min="1" max="2" width="10" customWidth="1"/>
    <col min="3" max="3" width="38" customWidth="1"/>
    <col min="4" max="4" width="22" customWidth="1"/>
    <col min="5" max="5" width="28" customWidth="1"/>
    <col min="6" max="6" width="32" customWidth="1"/>
    <col min="7" max="7" width="18" customWidth="1"/>
    <col min="8" max="8" width="20" customWidth="1"/>
    <col min="9" max="9" width="10" customWidth="1"/>
    <col min="10" max="10" width="12" customWidth="1"/>
    <col min="11" max="11" width="11" customWidth="1"/>
    <col min="12" max="12" width="12" customWidth="1"/>
  </cols>
  <sheetData>
    <row r="1" spans="1:12" ht="25.5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4" spans="1:12" ht="31.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>
        <v>2</v>
      </c>
      <c r="L5" s="3" t="s">
        <v>24</v>
      </c>
    </row>
    <row r="6" spans="1:12">
      <c r="A6" s="3" t="s">
        <v>25</v>
      </c>
      <c r="B6" s="3" t="s">
        <v>26</v>
      </c>
      <c r="C6" s="3" t="s">
        <v>27</v>
      </c>
      <c r="D6" s="3" t="s">
        <v>17</v>
      </c>
      <c r="E6" s="3" t="s">
        <v>18</v>
      </c>
      <c r="F6" s="3" t="s">
        <v>19</v>
      </c>
      <c r="G6" s="3" t="s">
        <v>21</v>
      </c>
      <c r="H6" s="3" t="s">
        <v>21</v>
      </c>
      <c r="I6" s="3" t="s">
        <v>22</v>
      </c>
      <c r="J6" s="3" t="s">
        <v>23</v>
      </c>
      <c r="K6" s="3">
        <v>2</v>
      </c>
      <c r="L6" s="3" t="s">
        <v>24</v>
      </c>
    </row>
    <row r="7" spans="1:12">
      <c r="A7" s="3" t="s">
        <v>28</v>
      </c>
      <c r="B7" s="3" t="s">
        <v>29</v>
      </c>
      <c r="C7" s="3" t="s">
        <v>30</v>
      </c>
      <c r="D7" s="3" t="s">
        <v>17</v>
      </c>
      <c r="E7" s="3" t="s">
        <v>18</v>
      </c>
      <c r="F7" s="3" t="s">
        <v>31</v>
      </c>
      <c r="G7" s="3" t="s">
        <v>32</v>
      </c>
      <c r="H7" s="3" t="s">
        <v>21</v>
      </c>
      <c r="I7" s="3" t="s">
        <v>33</v>
      </c>
      <c r="J7" s="3" t="s">
        <v>23</v>
      </c>
      <c r="K7" s="3">
        <v>3</v>
      </c>
      <c r="L7" s="3" t="s">
        <v>24</v>
      </c>
    </row>
    <row r="8" spans="1:12">
      <c r="A8" s="3" t="s">
        <v>34</v>
      </c>
      <c r="B8" s="3" t="s">
        <v>35</v>
      </c>
      <c r="C8" s="3" t="s">
        <v>36</v>
      </c>
      <c r="D8" s="3" t="s">
        <v>17</v>
      </c>
      <c r="E8" s="3" t="s">
        <v>18</v>
      </c>
      <c r="F8" s="3" t="s">
        <v>37</v>
      </c>
      <c r="G8" s="3" t="s">
        <v>21</v>
      </c>
      <c r="H8" s="3" t="s">
        <v>21</v>
      </c>
      <c r="I8" s="3" t="s">
        <v>22</v>
      </c>
      <c r="J8" s="3" t="s">
        <v>23</v>
      </c>
      <c r="K8" s="3">
        <v>1</v>
      </c>
      <c r="L8" s="3" t="s">
        <v>24</v>
      </c>
    </row>
    <row r="9" spans="1:12">
      <c r="A9" s="3" t="s">
        <v>38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43</v>
      </c>
      <c r="G9" s="3" t="s">
        <v>44</v>
      </c>
      <c r="H9" s="3" t="s">
        <v>21</v>
      </c>
      <c r="I9" s="3" t="s">
        <v>22</v>
      </c>
      <c r="J9" s="3" t="s">
        <v>23</v>
      </c>
      <c r="K9" s="3">
        <v>3</v>
      </c>
      <c r="L9" s="3" t="s">
        <v>24</v>
      </c>
    </row>
    <row r="10" spans="1:12">
      <c r="A10" s="3" t="s">
        <v>45</v>
      </c>
      <c r="B10" s="3" t="s">
        <v>46</v>
      </c>
      <c r="C10" s="3" t="s">
        <v>47</v>
      </c>
      <c r="D10" s="3" t="s">
        <v>41</v>
      </c>
      <c r="E10" s="3" t="s">
        <v>42</v>
      </c>
      <c r="F10" s="3" t="s">
        <v>48</v>
      </c>
      <c r="G10" s="3" t="s">
        <v>21</v>
      </c>
      <c r="H10" s="3" t="s">
        <v>21</v>
      </c>
      <c r="I10" s="3" t="s">
        <v>22</v>
      </c>
      <c r="J10" s="3" t="s">
        <v>23</v>
      </c>
      <c r="K10" s="3">
        <v>2</v>
      </c>
      <c r="L10" s="3" t="s">
        <v>24</v>
      </c>
    </row>
    <row r="11" spans="1:12">
      <c r="A11" s="3" t="s">
        <v>49</v>
      </c>
      <c r="B11" s="3" t="s">
        <v>50</v>
      </c>
      <c r="C11" s="3" t="s">
        <v>51</v>
      </c>
      <c r="D11" s="3" t="s">
        <v>41</v>
      </c>
      <c r="E11" s="3" t="s">
        <v>52</v>
      </c>
      <c r="F11" s="3" t="s">
        <v>53</v>
      </c>
      <c r="G11" s="3" t="s">
        <v>21</v>
      </c>
      <c r="H11" s="3" t="s">
        <v>54</v>
      </c>
      <c r="I11" s="3" t="s">
        <v>22</v>
      </c>
      <c r="J11" s="3" t="s">
        <v>23</v>
      </c>
      <c r="K11" s="3">
        <v>2</v>
      </c>
      <c r="L11" s="3" t="s">
        <v>24</v>
      </c>
    </row>
    <row r="12" spans="1:12">
      <c r="A12" s="3" t="s">
        <v>55</v>
      </c>
      <c r="B12" s="3" t="s">
        <v>56</v>
      </c>
      <c r="C12" s="3" t="s">
        <v>57</v>
      </c>
      <c r="D12" s="3" t="s">
        <v>41</v>
      </c>
      <c r="E12" s="3" t="s">
        <v>58</v>
      </c>
      <c r="F12" s="3" t="s">
        <v>59</v>
      </c>
      <c r="G12" s="3" t="s">
        <v>21</v>
      </c>
      <c r="H12" s="3" t="s">
        <v>21</v>
      </c>
      <c r="I12" s="3" t="s">
        <v>22</v>
      </c>
      <c r="J12" s="3" t="s">
        <v>23</v>
      </c>
      <c r="K12" s="3">
        <v>2</v>
      </c>
      <c r="L12" s="3" t="s">
        <v>24</v>
      </c>
    </row>
    <row r="13" spans="1:12">
      <c r="A13" s="3" t="s">
        <v>60</v>
      </c>
      <c r="B13" s="3" t="s">
        <v>61</v>
      </c>
      <c r="C13" s="3" t="s">
        <v>62</v>
      </c>
      <c r="D13" s="3" t="s">
        <v>41</v>
      </c>
      <c r="E13" s="3" t="s">
        <v>58</v>
      </c>
      <c r="F13" s="3" t="s">
        <v>63</v>
      </c>
      <c r="G13" s="3" t="s">
        <v>21</v>
      </c>
      <c r="H13" s="3" t="s">
        <v>64</v>
      </c>
      <c r="I13" s="3" t="s">
        <v>33</v>
      </c>
      <c r="J13" s="3" t="s">
        <v>23</v>
      </c>
      <c r="K13" s="3">
        <v>2</v>
      </c>
      <c r="L13" s="3" t="s">
        <v>24</v>
      </c>
    </row>
    <row r="14" spans="1:12">
      <c r="A14" s="3" t="s">
        <v>65</v>
      </c>
      <c r="B14" s="3" t="s">
        <v>66</v>
      </c>
      <c r="C14" s="3" t="s">
        <v>67</v>
      </c>
      <c r="D14" s="3" t="s">
        <v>68</v>
      </c>
      <c r="E14" s="3" t="s">
        <v>69</v>
      </c>
      <c r="F14" s="3" t="s">
        <v>70</v>
      </c>
      <c r="G14" s="3" t="s">
        <v>21</v>
      </c>
      <c r="H14" s="3" t="s">
        <v>21</v>
      </c>
      <c r="I14" s="3" t="s">
        <v>22</v>
      </c>
      <c r="J14" s="3" t="s">
        <v>23</v>
      </c>
      <c r="K14" s="3">
        <v>2</v>
      </c>
      <c r="L14" s="3" t="s">
        <v>24</v>
      </c>
    </row>
    <row r="15" spans="1:12">
      <c r="A15" s="3" t="s">
        <v>71</v>
      </c>
      <c r="B15" s="3" t="s">
        <v>72</v>
      </c>
      <c r="C15" s="3" t="s">
        <v>73</v>
      </c>
      <c r="D15" s="3" t="s">
        <v>68</v>
      </c>
      <c r="E15" s="3" t="s">
        <v>69</v>
      </c>
      <c r="F15" s="3" t="s">
        <v>70</v>
      </c>
      <c r="G15" s="3" t="s">
        <v>21</v>
      </c>
      <c r="H15" s="3" t="s">
        <v>21</v>
      </c>
      <c r="I15" s="3" t="s">
        <v>22</v>
      </c>
      <c r="J15" s="3" t="s">
        <v>23</v>
      </c>
      <c r="K15" s="3">
        <v>2</v>
      </c>
      <c r="L15" s="3" t="s">
        <v>24</v>
      </c>
    </row>
    <row r="16" spans="1:12">
      <c r="A16" s="3" t="s">
        <v>74</v>
      </c>
      <c r="B16" s="3" t="s">
        <v>75</v>
      </c>
      <c r="C16" s="3" t="s">
        <v>76</v>
      </c>
      <c r="D16" s="3" t="s">
        <v>68</v>
      </c>
      <c r="E16" s="3" t="s">
        <v>69</v>
      </c>
      <c r="F16" s="3" t="s">
        <v>70</v>
      </c>
      <c r="G16" s="3" t="s">
        <v>21</v>
      </c>
      <c r="H16" s="3" t="s">
        <v>21</v>
      </c>
      <c r="I16" s="3" t="s">
        <v>22</v>
      </c>
      <c r="J16" s="3" t="s">
        <v>23</v>
      </c>
      <c r="K16" s="3">
        <v>2</v>
      </c>
      <c r="L16" s="3" t="s">
        <v>24</v>
      </c>
    </row>
    <row r="17" spans="1:12">
      <c r="A17" s="3" t="s">
        <v>77</v>
      </c>
      <c r="B17" s="3" t="s">
        <v>78</v>
      </c>
      <c r="C17" s="3" t="s">
        <v>79</v>
      </c>
      <c r="D17" s="3" t="s">
        <v>68</v>
      </c>
      <c r="E17" s="3" t="s">
        <v>69</v>
      </c>
      <c r="F17" s="3" t="s">
        <v>80</v>
      </c>
      <c r="G17" s="3" t="s">
        <v>21</v>
      </c>
      <c r="H17" s="3" t="s">
        <v>81</v>
      </c>
      <c r="I17" s="3" t="s">
        <v>22</v>
      </c>
      <c r="J17" s="3" t="s">
        <v>23</v>
      </c>
      <c r="K17" s="3">
        <v>3</v>
      </c>
      <c r="L17" s="3" t="s">
        <v>24</v>
      </c>
    </row>
    <row r="18" spans="1:12">
      <c r="A18" s="3" t="s">
        <v>82</v>
      </c>
      <c r="B18" s="3" t="s">
        <v>83</v>
      </c>
      <c r="C18" s="3" t="s">
        <v>84</v>
      </c>
      <c r="D18" s="3" t="s">
        <v>68</v>
      </c>
      <c r="E18" s="3" t="s">
        <v>69</v>
      </c>
      <c r="F18" s="3" t="s">
        <v>70</v>
      </c>
      <c r="G18" s="3" t="s">
        <v>21</v>
      </c>
      <c r="H18" s="3" t="s">
        <v>21</v>
      </c>
      <c r="I18" s="3" t="s">
        <v>22</v>
      </c>
      <c r="J18" s="3" t="s">
        <v>23</v>
      </c>
      <c r="K18" s="3">
        <v>2</v>
      </c>
      <c r="L18" s="3" t="s">
        <v>24</v>
      </c>
    </row>
    <row r="19" spans="1:12">
      <c r="A19" s="3" t="s">
        <v>85</v>
      </c>
      <c r="B19" s="3" t="s">
        <v>86</v>
      </c>
      <c r="C19" s="3" t="s">
        <v>87</v>
      </c>
      <c r="D19" s="3" t="s">
        <v>68</v>
      </c>
      <c r="E19" s="3" t="s">
        <v>69</v>
      </c>
      <c r="F19" s="3" t="s">
        <v>80</v>
      </c>
      <c r="G19" s="3" t="s">
        <v>21</v>
      </c>
      <c r="H19" s="3" t="s">
        <v>21</v>
      </c>
      <c r="I19" s="3" t="s">
        <v>33</v>
      </c>
      <c r="J19" s="3" t="s">
        <v>23</v>
      </c>
      <c r="K19" s="3">
        <v>1</v>
      </c>
      <c r="L19" s="3" t="s">
        <v>24</v>
      </c>
    </row>
    <row r="20" spans="1:12">
      <c r="A20" s="3" t="s">
        <v>88</v>
      </c>
      <c r="B20" s="3" t="s">
        <v>89</v>
      </c>
      <c r="C20" s="3" t="s">
        <v>90</v>
      </c>
      <c r="D20" s="3" t="s">
        <v>68</v>
      </c>
      <c r="E20" s="3" t="s">
        <v>69</v>
      </c>
      <c r="F20" s="3" t="s">
        <v>80</v>
      </c>
      <c r="G20" s="3" t="s">
        <v>21</v>
      </c>
      <c r="H20" s="3" t="s">
        <v>21</v>
      </c>
      <c r="I20" s="3" t="s">
        <v>91</v>
      </c>
      <c r="J20" s="3" t="s">
        <v>23</v>
      </c>
      <c r="K20" s="3">
        <v>1</v>
      </c>
      <c r="L20" s="3" t="s">
        <v>24</v>
      </c>
    </row>
    <row r="21" spans="1:12">
      <c r="A21" s="3" t="s">
        <v>92</v>
      </c>
      <c r="B21" s="3" t="s">
        <v>93</v>
      </c>
      <c r="C21" s="3" t="s">
        <v>94</v>
      </c>
      <c r="D21" s="3" t="s">
        <v>68</v>
      </c>
      <c r="E21" s="3" t="s">
        <v>95</v>
      </c>
      <c r="F21" s="3" t="s">
        <v>96</v>
      </c>
      <c r="G21" s="3" t="s">
        <v>21</v>
      </c>
      <c r="H21" s="3" t="s">
        <v>97</v>
      </c>
      <c r="I21" s="3" t="s">
        <v>22</v>
      </c>
      <c r="J21" s="3" t="s">
        <v>23</v>
      </c>
      <c r="K21" s="3">
        <v>2</v>
      </c>
      <c r="L21" s="3" t="s">
        <v>24</v>
      </c>
    </row>
    <row r="22" spans="1:12">
      <c r="A22" s="3" t="s">
        <v>98</v>
      </c>
      <c r="B22" s="3" t="s">
        <v>99</v>
      </c>
      <c r="C22" s="3" t="s">
        <v>100</v>
      </c>
      <c r="D22" s="3" t="s">
        <v>101</v>
      </c>
      <c r="E22" s="3" t="s">
        <v>69</v>
      </c>
      <c r="F22" s="3" t="s">
        <v>102</v>
      </c>
      <c r="G22" s="3" t="s">
        <v>103</v>
      </c>
      <c r="H22" s="3" t="s">
        <v>21</v>
      </c>
      <c r="I22" s="3" t="s">
        <v>22</v>
      </c>
      <c r="J22" s="3" t="s">
        <v>23</v>
      </c>
      <c r="K22" s="3">
        <v>2</v>
      </c>
      <c r="L22" s="3" t="s">
        <v>24</v>
      </c>
    </row>
    <row r="23" spans="1:12">
      <c r="A23" s="3" t="s">
        <v>104</v>
      </c>
      <c r="B23" s="3" t="s">
        <v>105</v>
      </c>
      <c r="C23" s="3" t="s">
        <v>106</v>
      </c>
      <c r="D23" s="3" t="s">
        <v>101</v>
      </c>
      <c r="E23" s="3" t="s">
        <v>69</v>
      </c>
      <c r="F23" s="3" t="s">
        <v>102</v>
      </c>
      <c r="G23" s="3" t="s">
        <v>21</v>
      </c>
      <c r="H23" s="3" t="s">
        <v>21</v>
      </c>
      <c r="I23" s="3" t="s">
        <v>22</v>
      </c>
      <c r="J23" s="3" t="s">
        <v>23</v>
      </c>
      <c r="K23" s="3">
        <v>1</v>
      </c>
      <c r="L23" s="3" t="s">
        <v>24</v>
      </c>
    </row>
    <row r="24" spans="1:12">
      <c r="A24" s="3" t="s">
        <v>107</v>
      </c>
      <c r="B24" s="3" t="s">
        <v>108</v>
      </c>
      <c r="C24" s="3" t="s">
        <v>109</v>
      </c>
      <c r="D24" s="3" t="s">
        <v>101</v>
      </c>
      <c r="E24" s="3" t="s">
        <v>69</v>
      </c>
      <c r="F24" s="3" t="s">
        <v>110</v>
      </c>
      <c r="G24" s="3" t="s">
        <v>21</v>
      </c>
      <c r="H24" s="3" t="s">
        <v>21</v>
      </c>
      <c r="I24" s="3" t="s">
        <v>33</v>
      </c>
      <c r="J24" s="3" t="s">
        <v>23</v>
      </c>
      <c r="K24" s="3">
        <v>2</v>
      </c>
      <c r="L24" s="3" t="s">
        <v>24</v>
      </c>
    </row>
    <row r="25" spans="1:12">
      <c r="A25" s="3" t="s">
        <v>111</v>
      </c>
      <c r="B25" s="3" t="s">
        <v>112</v>
      </c>
      <c r="C25" s="3" t="s">
        <v>113</v>
      </c>
      <c r="D25" s="3" t="s">
        <v>101</v>
      </c>
      <c r="E25" s="3" t="s">
        <v>114</v>
      </c>
      <c r="F25" s="3" t="s">
        <v>115</v>
      </c>
      <c r="G25" s="3" t="s">
        <v>21</v>
      </c>
      <c r="H25" s="3" t="s">
        <v>116</v>
      </c>
      <c r="I25" s="3" t="s">
        <v>33</v>
      </c>
      <c r="J25" s="3" t="s">
        <v>23</v>
      </c>
      <c r="K25" s="3">
        <v>1</v>
      </c>
      <c r="L25" s="3" t="s">
        <v>24</v>
      </c>
    </row>
    <row r="26" spans="1:12">
      <c r="A26" s="3" t="s">
        <v>117</v>
      </c>
      <c r="B26" s="3" t="s">
        <v>118</v>
      </c>
      <c r="C26" s="3" t="s">
        <v>119</v>
      </c>
      <c r="D26" s="3" t="s">
        <v>120</v>
      </c>
      <c r="E26" s="3" t="s">
        <v>121</v>
      </c>
      <c r="F26" s="3" t="s">
        <v>122</v>
      </c>
      <c r="G26" s="3" t="s">
        <v>103</v>
      </c>
      <c r="H26" s="3" t="s">
        <v>21</v>
      </c>
      <c r="I26" s="3" t="s">
        <v>22</v>
      </c>
      <c r="J26" s="3" t="s">
        <v>23</v>
      </c>
      <c r="K26" s="3">
        <v>3</v>
      </c>
      <c r="L26" s="3" t="s">
        <v>24</v>
      </c>
    </row>
    <row r="27" spans="1:12">
      <c r="A27" s="3" t="s">
        <v>123</v>
      </c>
      <c r="B27" s="3" t="s">
        <v>124</v>
      </c>
      <c r="C27" s="3" t="s">
        <v>125</v>
      </c>
      <c r="D27" s="3" t="s">
        <v>120</v>
      </c>
      <c r="E27" s="3" t="s">
        <v>121</v>
      </c>
      <c r="F27" s="3" t="s">
        <v>122</v>
      </c>
      <c r="G27" s="3" t="s">
        <v>21</v>
      </c>
      <c r="H27" s="3" t="s">
        <v>21</v>
      </c>
      <c r="I27" s="3" t="s">
        <v>22</v>
      </c>
      <c r="J27" s="3" t="s">
        <v>23</v>
      </c>
      <c r="K27" s="3">
        <v>2</v>
      </c>
      <c r="L27" s="3" t="s">
        <v>24</v>
      </c>
    </row>
    <row r="28" spans="1:12">
      <c r="A28" s="3" t="s">
        <v>126</v>
      </c>
      <c r="B28" s="3" t="s">
        <v>127</v>
      </c>
      <c r="C28" s="3" t="s">
        <v>128</v>
      </c>
      <c r="D28" s="3" t="s">
        <v>120</v>
      </c>
      <c r="E28" s="3" t="s">
        <v>129</v>
      </c>
      <c r="F28" s="3" t="s">
        <v>130</v>
      </c>
      <c r="G28" s="3" t="s">
        <v>131</v>
      </c>
      <c r="H28" s="3" t="s">
        <v>21</v>
      </c>
      <c r="I28" s="3" t="s">
        <v>22</v>
      </c>
      <c r="J28" s="3" t="s">
        <v>23</v>
      </c>
      <c r="K28" s="3">
        <v>1</v>
      </c>
      <c r="L28" s="3" t="s">
        <v>24</v>
      </c>
    </row>
    <row r="29" spans="1:12">
      <c r="A29" s="3" t="s">
        <v>132</v>
      </c>
      <c r="B29" s="3" t="s">
        <v>133</v>
      </c>
      <c r="C29" s="3" t="s">
        <v>134</v>
      </c>
      <c r="D29" s="3" t="s">
        <v>120</v>
      </c>
      <c r="E29" s="3" t="s">
        <v>121</v>
      </c>
      <c r="F29" s="3" t="s">
        <v>135</v>
      </c>
      <c r="G29" s="3" t="s">
        <v>136</v>
      </c>
      <c r="H29" s="3" t="s">
        <v>137</v>
      </c>
      <c r="I29" s="3" t="s">
        <v>22</v>
      </c>
      <c r="J29" s="3" t="s">
        <v>23</v>
      </c>
      <c r="K29" s="3">
        <v>3</v>
      </c>
      <c r="L29" s="3" t="s">
        <v>24</v>
      </c>
    </row>
    <row r="30" spans="1:12">
      <c r="A30" s="3" t="s">
        <v>138</v>
      </c>
      <c r="B30" s="3" t="s">
        <v>139</v>
      </c>
      <c r="C30" s="3" t="s">
        <v>140</v>
      </c>
      <c r="D30" s="3" t="s">
        <v>120</v>
      </c>
      <c r="E30" s="3" t="s">
        <v>129</v>
      </c>
      <c r="F30" s="3" t="s">
        <v>141</v>
      </c>
      <c r="G30" s="3" t="s">
        <v>21</v>
      </c>
      <c r="H30" s="3" t="s">
        <v>21</v>
      </c>
      <c r="I30" s="3" t="s">
        <v>22</v>
      </c>
      <c r="J30" s="3" t="s">
        <v>23</v>
      </c>
      <c r="K30" s="3">
        <v>2</v>
      </c>
      <c r="L30" s="3" t="s">
        <v>24</v>
      </c>
    </row>
    <row r="31" spans="1:12">
      <c r="A31" s="3" t="s">
        <v>142</v>
      </c>
      <c r="B31" s="3" t="s">
        <v>143</v>
      </c>
      <c r="C31" s="3" t="s">
        <v>144</v>
      </c>
      <c r="D31" s="3" t="s">
        <v>120</v>
      </c>
      <c r="E31" s="3" t="s">
        <v>121</v>
      </c>
      <c r="F31" s="3" t="s">
        <v>145</v>
      </c>
      <c r="G31" s="3" t="s">
        <v>21</v>
      </c>
      <c r="H31" s="3" t="s">
        <v>146</v>
      </c>
      <c r="I31" s="3" t="s">
        <v>22</v>
      </c>
      <c r="J31" s="3" t="s">
        <v>23</v>
      </c>
      <c r="K31" s="3">
        <v>2</v>
      </c>
      <c r="L31" s="3" t="s">
        <v>24</v>
      </c>
    </row>
    <row r="32" spans="1:12">
      <c r="A32" s="3" t="s">
        <v>147</v>
      </c>
      <c r="B32" s="3" t="s">
        <v>148</v>
      </c>
      <c r="C32" s="3" t="s">
        <v>149</v>
      </c>
      <c r="D32" s="3" t="s">
        <v>120</v>
      </c>
      <c r="E32" s="3" t="s">
        <v>129</v>
      </c>
      <c r="F32" s="3" t="s">
        <v>150</v>
      </c>
      <c r="G32" s="3" t="s">
        <v>103</v>
      </c>
      <c r="H32" s="3" t="s">
        <v>151</v>
      </c>
      <c r="I32" s="3" t="s">
        <v>33</v>
      </c>
      <c r="J32" s="3" t="s">
        <v>23</v>
      </c>
      <c r="K32" s="3">
        <v>1</v>
      </c>
      <c r="L32" s="3" t="s">
        <v>24</v>
      </c>
    </row>
    <row r="33" spans="1:12">
      <c r="A33" s="3" t="s">
        <v>152</v>
      </c>
      <c r="B33" s="3" t="s">
        <v>153</v>
      </c>
      <c r="C33" s="3" t="s">
        <v>154</v>
      </c>
      <c r="D33" s="3" t="s">
        <v>155</v>
      </c>
      <c r="E33" s="3" t="s">
        <v>156</v>
      </c>
      <c r="F33" s="3" t="s">
        <v>157</v>
      </c>
      <c r="G33" s="3" t="s">
        <v>21</v>
      </c>
      <c r="H33" s="3" t="s">
        <v>21</v>
      </c>
      <c r="I33" s="3" t="s">
        <v>22</v>
      </c>
      <c r="J33" s="3" t="s">
        <v>23</v>
      </c>
      <c r="K33" s="3">
        <v>2</v>
      </c>
      <c r="L33" s="3" t="s">
        <v>24</v>
      </c>
    </row>
    <row r="34" spans="1:12">
      <c r="A34" s="3" t="s">
        <v>158</v>
      </c>
      <c r="B34" s="3" t="s">
        <v>159</v>
      </c>
      <c r="C34" s="3" t="s">
        <v>160</v>
      </c>
      <c r="D34" s="3" t="s">
        <v>155</v>
      </c>
      <c r="E34" s="3" t="s">
        <v>156</v>
      </c>
      <c r="F34" s="3" t="s">
        <v>161</v>
      </c>
      <c r="G34" s="3" t="s">
        <v>21</v>
      </c>
      <c r="H34" s="3" t="s">
        <v>21</v>
      </c>
      <c r="I34" s="3" t="s">
        <v>22</v>
      </c>
      <c r="J34" s="3" t="s">
        <v>23</v>
      </c>
      <c r="K34" s="3">
        <v>1</v>
      </c>
      <c r="L34" s="3" t="s">
        <v>24</v>
      </c>
    </row>
    <row r="35" spans="1:12">
      <c r="A35" s="3" t="s">
        <v>162</v>
      </c>
      <c r="B35" s="3" t="s">
        <v>163</v>
      </c>
      <c r="C35" s="3" t="s">
        <v>164</v>
      </c>
      <c r="D35" s="3" t="s">
        <v>155</v>
      </c>
      <c r="E35" s="3" t="s">
        <v>156</v>
      </c>
      <c r="F35" s="3" t="s">
        <v>165</v>
      </c>
      <c r="G35" s="3" t="s">
        <v>21</v>
      </c>
      <c r="H35" s="3" t="s">
        <v>166</v>
      </c>
      <c r="I35" s="3" t="s">
        <v>33</v>
      </c>
      <c r="J35" s="3" t="s">
        <v>23</v>
      </c>
      <c r="K35" s="3">
        <v>1</v>
      </c>
      <c r="L35" s="3" t="s">
        <v>24</v>
      </c>
    </row>
    <row r="36" spans="1:12">
      <c r="A36" s="3" t="s">
        <v>167</v>
      </c>
      <c r="B36" s="3" t="s">
        <v>168</v>
      </c>
      <c r="C36" s="3" t="s">
        <v>169</v>
      </c>
      <c r="D36" s="3" t="s">
        <v>170</v>
      </c>
      <c r="E36" s="3" t="s">
        <v>58</v>
      </c>
      <c r="F36" s="3" t="s">
        <v>171</v>
      </c>
      <c r="G36" s="3" t="s">
        <v>172</v>
      </c>
      <c r="H36" s="3" t="s">
        <v>21</v>
      </c>
      <c r="I36" s="3" t="s">
        <v>22</v>
      </c>
      <c r="J36" s="3" t="s">
        <v>23</v>
      </c>
      <c r="K36" s="3">
        <v>3</v>
      </c>
      <c r="L36" s="3" t="s">
        <v>24</v>
      </c>
    </row>
    <row r="37" spans="1:12">
      <c r="A37" s="3" t="s">
        <v>173</v>
      </c>
      <c r="B37" s="3" t="s">
        <v>174</v>
      </c>
      <c r="C37" s="3" t="s">
        <v>175</v>
      </c>
      <c r="D37" s="3" t="s">
        <v>170</v>
      </c>
      <c r="E37" s="3" t="s">
        <v>58</v>
      </c>
      <c r="F37" s="3" t="s">
        <v>176</v>
      </c>
      <c r="G37" s="3" t="s">
        <v>21</v>
      </c>
      <c r="H37" s="3" t="s">
        <v>21</v>
      </c>
      <c r="I37" s="3" t="s">
        <v>91</v>
      </c>
      <c r="J37" s="3" t="s">
        <v>23</v>
      </c>
      <c r="K37" s="3">
        <v>1</v>
      </c>
      <c r="L37" s="3" t="s">
        <v>24</v>
      </c>
    </row>
    <row r="38" spans="1:12">
      <c r="A38" s="3" t="s">
        <v>177</v>
      </c>
      <c r="B38" s="3" t="s">
        <v>178</v>
      </c>
      <c r="C38" s="3" t="s">
        <v>179</v>
      </c>
      <c r="D38" s="3" t="s">
        <v>170</v>
      </c>
      <c r="E38" s="3" t="s">
        <v>58</v>
      </c>
      <c r="F38" s="3" t="s">
        <v>180</v>
      </c>
      <c r="G38" s="3" t="s">
        <v>181</v>
      </c>
      <c r="H38" s="3" t="s">
        <v>21</v>
      </c>
      <c r="I38" s="3" t="s">
        <v>22</v>
      </c>
      <c r="J38" s="3" t="s">
        <v>23</v>
      </c>
      <c r="K38" s="3">
        <v>2</v>
      </c>
      <c r="L38" s="3" t="s">
        <v>24</v>
      </c>
    </row>
    <row r="39" spans="1:12">
      <c r="A39" s="3" t="s">
        <v>182</v>
      </c>
      <c r="B39" s="3" t="s">
        <v>183</v>
      </c>
      <c r="C39" s="3" t="s">
        <v>184</v>
      </c>
      <c r="D39" s="3" t="s">
        <v>170</v>
      </c>
      <c r="E39" s="3" t="s">
        <v>58</v>
      </c>
      <c r="F39" s="3" t="s">
        <v>185</v>
      </c>
      <c r="G39" s="3" t="s">
        <v>21</v>
      </c>
      <c r="H39" s="3" t="s">
        <v>186</v>
      </c>
      <c r="I39" s="3" t="s">
        <v>33</v>
      </c>
      <c r="J39" s="3" t="s">
        <v>23</v>
      </c>
      <c r="K39" s="3">
        <v>1</v>
      </c>
      <c r="L39" s="3" t="s">
        <v>24</v>
      </c>
    </row>
    <row r="40" spans="1:12">
      <c r="A40" s="3" t="s">
        <v>187</v>
      </c>
      <c r="B40" s="3" t="s">
        <v>188</v>
      </c>
      <c r="C40" s="3" t="s">
        <v>189</v>
      </c>
      <c r="D40" s="3" t="s">
        <v>190</v>
      </c>
      <c r="E40" s="3" t="s">
        <v>191</v>
      </c>
      <c r="F40" s="3" t="s">
        <v>192</v>
      </c>
      <c r="G40" s="3" t="s">
        <v>21</v>
      </c>
      <c r="H40" s="3" t="s">
        <v>21</v>
      </c>
      <c r="I40" s="3" t="s">
        <v>22</v>
      </c>
      <c r="J40" s="3" t="s">
        <v>23</v>
      </c>
      <c r="K40" s="3">
        <v>2</v>
      </c>
      <c r="L40" s="3" t="s">
        <v>24</v>
      </c>
    </row>
    <row r="41" spans="1:12">
      <c r="A41" s="3" t="s">
        <v>193</v>
      </c>
      <c r="B41" s="3" t="s">
        <v>194</v>
      </c>
      <c r="C41" s="3" t="s">
        <v>195</v>
      </c>
      <c r="D41" s="3" t="s">
        <v>190</v>
      </c>
      <c r="E41" s="3" t="s">
        <v>191</v>
      </c>
      <c r="F41" s="3" t="s">
        <v>196</v>
      </c>
      <c r="G41" s="3" t="s">
        <v>197</v>
      </c>
      <c r="H41" s="3" t="s">
        <v>21</v>
      </c>
      <c r="I41" s="3" t="s">
        <v>22</v>
      </c>
      <c r="J41" s="3" t="s">
        <v>23</v>
      </c>
      <c r="K41" s="3">
        <v>3</v>
      </c>
      <c r="L41" s="3" t="s">
        <v>24</v>
      </c>
    </row>
    <row r="42" spans="1:12">
      <c r="A42" s="3" t="s">
        <v>198</v>
      </c>
      <c r="B42" s="3" t="s">
        <v>199</v>
      </c>
      <c r="C42" s="3" t="s">
        <v>200</v>
      </c>
      <c r="D42" s="3" t="s">
        <v>190</v>
      </c>
      <c r="E42" s="3" t="s">
        <v>191</v>
      </c>
      <c r="F42" s="3" t="s">
        <v>201</v>
      </c>
      <c r="G42" s="3" t="s">
        <v>202</v>
      </c>
      <c r="H42" s="3" t="s">
        <v>21</v>
      </c>
      <c r="I42" s="3" t="s">
        <v>22</v>
      </c>
      <c r="J42" s="3" t="s">
        <v>23</v>
      </c>
      <c r="K42" s="3">
        <v>3</v>
      </c>
      <c r="L42" s="3" t="s">
        <v>24</v>
      </c>
    </row>
    <row r="43" spans="1:12">
      <c r="A43" s="3" t="s">
        <v>203</v>
      </c>
      <c r="B43" s="3" t="s">
        <v>204</v>
      </c>
      <c r="C43" s="3" t="s">
        <v>205</v>
      </c>
      <c r="D43" s="3" t="s">
        <v>190</v>
      </c>
      <c r="E43" s="3" t="s">
        <v>191</v>
      </c>
      <c r="F43" s="3" t="s">
        <v>206</v>
      </c>
      <c r="G43" s="3" t="s">
        <v>207</v>
      </c>
      <c r="H43" s="3" t="s">
        <v>21</v>
      </c>
      <c r="I43" s="3" t="s">
        <v>22</v>
      </c>
      <c r="J43" s="3" t="s">
        <v>23</v>
      </c>
      <c r="K43" s="3">
        <v>7</v>
      </c>
      <c r="L43" s="3" t="s">
        <v>24</v>
      </c>
    </row>
    <row r="44" spans="1:12">
      <c r="A44" s="3" t="s">
        <v>208</v>
      </c>
      <c r="B44" s="3" t="s">
        <v>209</v>
      </c>
      <c r="C44" s="3" t="s">
        <v>210</v>
      </c>
      <c r="D44" s="3" t="s">
        <v>190</v>
      </c>
      <c r="E44" s="3" t="s">
        <v>191</v>
      </c>
      <c r="F44" s="3" t="s">
        <v>115</v>
      </c>
      <c r="G44" s="3" t="s">
        <v>21</v>
      </c>
      <c r="H44" s="3" t="s">
        <v>211</v>
      </c>
      <c r="I44" s="3" t="s">
        <v>33</v>
      </c>
      <c r="J44" s="3" t="s">
        <v>23</v>
      </c>
      <c r="K44" s="3">
        <v>1</v>
      </c>
      <c r="L44" s="3" t="s">
        <v>24</v>
      </c>
    </row>
    <row r="45" spans="1:12">
      <c r="A45" s="3" t="s">
        <v>212</v>
      </c>
      <c r="B45" s="3" t="s">
        <v>213</v>
      </c>
      <c r="C45" s="3" t="s">
        <v>214</v>
      </c>
      <c r="D45" s="3" t="s">
        <v>190</v>
      </c>
      <c r="E45" s="3" t="s">
        <v>191</v>
      </c>
      <c r="F45" s="3" t="s">
        <v>145</v>
      </c>
      <c r="G45" s="3" t="s">
        <v>21</v>
      </c>
      <c r="H45" s="3" t="s">
        <v>215</v>
      </c>
      <c r="I45" s="3" t="s">
        <v>33</v>
      </c>
      <c r="J45" s="3" t="s">
        <v>23</v>
      </c>
      <c r="K45" s="3">
        <v>1</v>
      </c>
      <c r="L45" s="3" t="s">
        <v>24</v>
      </c>
    </row>
    <row r="46" spans="1:12">
      <c r="A46" s="3" t="s">
        <v>216</v>
      </c>
      <c r="B46" s="3" t="s">
        <v>217</v>
      </c>
      <c r="C46" s="3" t="s">
        <v>218</v>
      </c>
      <c r="D46" s="3" t="s">
        <v>219</v>
      </c>
      <c r="E46" s="3" t="s">
        <v>220</v>
      </c>
      <c r="F46" s="3" t="s">
        <v>192</v>
      </c>
      <c r="G46" s="3" t="s">
        <v>21</v>
      </c>
      <c r="H46" s="3" t="s">
        <v>21</v>
      </c>
      <c r="I46" s="3" t="s">
        <v>22</v>
      </c>
      <c r="J46" s="3" t="s">
        <v>23</v>
      </c>
      <c r="K46" s="3">
        <v>2</v>
      </c>
      <c r="L46" s="3" t="s">
        <v>24</v>
      </c>
    </row>
    <row r="47" spans="1:12">
      <c r="A47" s="3" t="s">
        <v>221</v>
      </c>
      <c r="B47" s="3" t="s">
        <v>222</v>
      </c>
      <c r="C47" s="3" t="s">
        <v>223</v>
      </c>
      <c r="D47" s="3" t="s">
        <v>219</v>
      </c>
      <c r="E47" s="3" t="s">
        <v>220</v>
      </c>
      <c r="F47" s="3" t="s">
        <v>224</v>
      </c>
      <c r="G47" s="3" t="s">
        <v>21</v>
      </c>
      <c r="H47" s="3" t="s">
        <v>21</v>
      </c>
      <c r="I47" s="3" t="s">
        <v>22</v>
      </c>
      <c r="J47" s="3" t="s">
        <v>23</v>
      </c>
      <c r="K47" s="3">
        <v>2</v>
      </c>
      <c r="L47" s="3" t="s">
        <v>24</v>
      </c>
    </row>
    <row r="48" spans="1:12">
      <c r="A48" s="3" t="s">
        <v>225</v>
      </c>
      <c r="B48" s="3" t="s">
        <v>226</v>
      </c>
      <c r="C48" s="3" t="s">
        <v>227</v>
      </c>
      <c r="D48" s="3" t="s">
        <v>219</v>
      </c>
      <c r="E48" s="3" t="s">
        <v>220</v>
      </c>
      <c r="F48" s="3" t="s">
        <v>228</v>
      </c>
      <c r="G48" s="3" t="s">
        <v>21</v>
      </c>
      <c r="H48" s="3" t="s">
        <v>21</v>
      </c>
      <c r="I48" s="3" t="s">
        <v>22</v>
      </c>
      <c r="J48" s="3" t="s">
        <v>23</v>
      </c>
      <c r="K48" s="3">
        <v>2</v>
      </c>
      <c r="L48" s="3" t="s">
        <v>24</v>
      </c>
    </row>
    <row r="49" spans="1:12">
      <c r="A49" s="3" t="s">
        <v>229</v>
      </c>
      <c r="B49" s="3" t="s">
        <v>230</v>
      </c>
      <c r="C49" s="3" t="s">
        <v>231</v>
      </c>
      <c r="D49" s="3" t="s">
        <v>219</v>
      </c>
      <c r="E49" s="3" t="s">
        <v>220</v>
      </c>
      <c r="F49" s="3" t="s">
        <v>232</v>
      </c>
      <c r="G49" s="3" t="s">
        <v>21</v>
      </c>
      <c r="H49" s="3" t="s">
        <v>233</v>
      </c>
      <c r="I49" s="3" t="s">
        <v>33</v>
      </c>
      <c r="J49" s="3" t="s">
        <v>23</v>
      </c>
      <c r="K49" s="3">
        <v>2</v>
      </c>
      <c r="L49" s="3" t="s">
        <v>24</v>
      </c>
    </row>
    <row r="50" spans="1:12">
      <c r="A50" s="3" t="s">
        <v>234</v>
      </c>
      <c r="B50" s="3" t="s">
        <v>235</v>
      </c>
      <c r="C50" s="3" t="s">
        <v>236</v>
      </c>
      <c r="D50" s="3" t="s">
        <v>237</v>
      </c>
      <c r="E50" s="3" t="s">
        <v>69</v>
      </c>
      <c r="F50" s="3" t="s">
        <v>238</v>
      </c>
      <c r="G50" s="3" t="s">
        <v>239</v>
      </c>
      <c r="H50" s="3" t="s">
        <v>21</v>
      </c>
      <c r="I50" s="3" t="s">
        <v>22</v>
      </c>
      <c r="J50" s="3" t="s">
        <v>23</v>
      </c>
      <c r="K50" s="3">
        <v>2</v>
      </c>
      <c r="L50" s="3" t="s">
        <v>24</v>
      </c>
    </row>
    <row r="51" spans="1:12">
      <c r="A51" s="3" t="s">
        <v>240</v>
      </c>
      <c r="B51" s="3" t="s">
        <v>241</v>
      </c>
      <c r="C51" s="3" t="s">
        <v>242</v>
      </c>
      <c r="D51" s="3" t="s">
        <v>237</v>
      </c>
      <c r="E51" s="3" t="s">
        <v>243</v>
      </c>
      <c r="F51" s="3" t="s">
        <v>244</v>
      </c>
      <c r="G51" s="3" t="s">
        <v>239</v>
      </c>
      <c r="H51" s="3" t="s">
        <v>21</v>
      </c>
      <c r="I51" s="3" t="s">
        <v>33</v>
      </c>
      <c r="J51" s="3" t="s">
        <v>245</v>
      </c>
      <c r="K51" s="3">
        <v>1</v>
      </c>
      <c r="L51" s="3" t="s">
        <v>24</v>
      </c>
    </row>
    <row r="52" spans="1:12">
      <c r="A52" s="3" t="s">
        <v>246</v>
      </c>
      <c r="B52" s="3" t="s">
        <v>247</v>
      </c>
      <c r="C52" s="3" t="s">
        <v>248</v>
      </c>
      <c r="D52" s="3" t="s">
        <v>237</v>
      </c>
      <c r="E52" s="3" t="s">
        <v>58</v>
      </c>
      <c r="F52" s="3" t="s">
        <v>249</v>
      </c>
      <c r="G52" s="3" t="s">
        <v>250</v>
      </c>
      <c r="H52" s="3" t="s">
        <v>21</v>
      </c>
      <c r="I52" s="3" t="s">
        <v>22</v>
      </c>
      <c r="J52" s="3" t="s">
        <v>23</v>
      </c>
      <c r="K52" s="3">
        <v>2</v>
      </c>
      <c r="L52" s="3" t="s">
        <v>24</v>
      </c>
    </row>
    <row r="53" spans="1:12">
      <c r="A53" s="3" t="s">
        <v>251</v>
      </c>
      <c r="B53" s="3" t="s">
        <v>252</v>
      </c>
      <c r="C53" s="3" t="s">
        <v>253</v>
      </c>
      <c r="D53" s="3" t="s">
        <v>237</v>
      </c>
      <c r="E53" s="3" t="s">
        <v>254</v>
      </c>
      <c r="F53" s="3" t="s">
        <v>255</v>
      </c>
      <c r="G53" s="3" t="s">
        <v>256</v>
      </c>
      <c r="H53" s="3" t="s">
        <v>21</v>
      </c>
      <c r="I53" s="3" t="s">
        <v>22</v>
      </c>
      <c r="J53" s="3" t="s">
        <v>23</v>
      </c>
      <c r="K53" s="3">
        <v>1</v>
      </c>
      <c r="L53" s="3" t="s">
        <v>24</v>
      </c>
    </row>
    <row r="54" spans="1:12">
      <c r="A54" s="3" t="s">
        <v>257</v>
      </c>
      <c r="B54" s="3" t="s">
        <v>258</v>
      </c>
      <c r="C54" s="3" t="s">
        <v>259</v>
      </c>
      <c r="D54" s="3" t="s">
        <v>237</v>
      </c>
      <c r="E54" s="3" t="s">
        <v>260</v>
      </c>
      <c r="F54" s="3" t="s">
        <v>261</v>
      </c>
      <c r="G54" s="3" t="s">
        <v>21</v>
      </c>
      <c r="H54" s="3" t="s">
        <v>262</v>
      </c>
      <c r="I54" s="3" t="s">
        <v>22</v>
      </c>
      <c r="J54" s="3" t="s">
        <v>23</v>
      </c>
      <c r="K54" s="3">
        <v>1</v>
      </c>
      <c r="L54" s="3" t="s">
        <v>24</v>
      </c>
    </row>
    <row r="55" spans="1:12">
      <c r="A55" s="3" t="s">
        <v>263</v>
      </c>
      <c r="B55" s="3" t="s">
        <v>264</v>
      </c>
      <c r="C55" s="3" t="s">
        <v>265</v>
      </c>
      <c r="D55" s="3" t="s">
        <v>266</v>
      </c>
      <c r="E55" s="3" t="s">
        <v>267</v>
      </c>
      <c r="F55" s="3" t="s">
        <v>268</v>
      </c>
      <c r="G55" s="3" t="s">
        <v>269</v>
      </c>
      <c r="H55" s="3" t="s">
        <v>21</v>
      </c>
      <c r="I55" s="3" t="s">
        <v>22</v>
      </c>
      <c r="J55" s="3" t="s">
        <v>23</v>
      </c>
      <c r="K55" s="3">
        <v>1</v>
      </c>
      <c r="L55" s="3" t="s">
        <v>24</v>
      </c>
    </row>
    <row r="56" spans="1:12">
      <c r="A56" s="3" t="s">
        <v>270</v>
      </c>
      <c r="B56" s="3" t="s">
        <v>271</v>
      </c>
      <c r="C56" s="3" t="s">
        <v>272</v>
      </c>
      <c r="D56" s="3" t="s">
        <v>266</v>
      </c>
      <c r="E56" s="3" t="s">
        <v>273</v>
      </c>
      <c r="F56" s="3" t="s">
        <v>274</v>
      </c>
      <c r="G56" s="3" t="s">
        <v>275</v>
      </c>
      <c r="H56" s="3" t="s">
        <v>276</v>
      </c>
      <c r="I56" s="3" t="s">
        <v>22</v>
      </c>
      <c r="J56" s="3" t="s">
        <v>23</v>
      </c>
      <c r="K56" s="3">
        <v>2</v>
      </c>
      <c r="L56" s="3" t="s">
        <v>24</v>
      </c>
    </row>
    <row r="57" spans="1:12">
      <c r="A57" s="3" t="s">
        <v>277</v>
      </c>
      <c r="B57" s="3" t="s">
        <v>278</v>
      </c>
      <c r="C57" s="3" t="s">
        <v>279</v>
      </c>
      <c r="D57" s="3" t="s">
        <v>266</v>
      </c>
      <c r="E57" s="3" t="s">
        <v>273</v>
      </c>
      <c r="F57" s="3" t="s">
        <v>280</v>
      </c>
      <c r="G57" s="3" t="s">
        <v>281</v>
      </c>
      <c r="H57" s="3" t="s">
        <v>21</v>
      </c>
      <c r="I57" s="3" t="s">
        <v>22</v>
      </c>
      <c r="J57" s="3" t="s">
        <v>23</v>
      </c>
      <c r="K57" s="3">
        <v>2</v>
      </c>
      <c r="L57" s="3" t="s">
        <v>24</v>
      </c>
    </row>
    <row r="58" spans="1:12">
      <c r="A58" s="3" t="s">
        <v>282</v>
      </c>
      <c r="B58" s="3" t="s">
        <v>283</v>
      </c>
      <c r="C58" s="3" t="s">
        <v>284</v>
      </c>
      <c r="D58" s="3" t="s">
        <v>266</v>
      </c>
      <c r="E58" s="3" t="s">
        <v>273</v>
      </c>
      <c r="F58" s="3" t="s">
        <v>285</v>
      </c>
      <c r="G58" s="3" t="s">
        <v>21</v>
      </c>
      <c r="H58" s="3" t="s">
        <v>21</v>
      </c>
      <c r="I58" s="3" t="s">
        <v>33</v>
      </c>
      <c r="J58" s="3" t="s">
        <v>23</v>
      </c>
      <c r="K58" s="3">
        <v>1</v>
      </c>
      <c r="L58" s="3" t="s">
        <v>24</v>
      </c>
    </row>
    <row r="59" spans="1:12">
      <c r="A59" s="3" t="s">
        <v>286</v>
      </c>
      <c r="B59" s="3" t="s">
        <v>287</v>
      </c>
      <c r="C59" s="3" t="s">
        <v>288</v>
      </c>
      <c r="D59" s="3" t="s">
        <v>266</v>
      </c>
      <c r="E59" s="3" t="s">
        <v>289</v>
      </c>
      <c r="F59" s="3" t="s">
        <v>290</v>
      </c>
      <c r="G59" s="3" t="s">
        <v>291</v>
      </c>
      <c r="H59" s="3" t="s">
        <v>292</v>
      </c>
      <c r="I59" s="3" t="s">
        <v>22</v>
      </c>
      <c r="J59" s="3" t="s">
        <v>23</v>
      </c>
      <c r="K59" s="3">
        <v>2</v>
      </c>
      <c r="L59" s="3" t="s">
        <v>24</v>
      </c>
    </row>
    <row r="60" spans="1:12">
      <c r="A60" s="3" t="s">
        <v>293</v>
      </c>
      <c r="B60" s="3" t="s">
        <v>294</v>
      </c>
      <c r="C60" s="3" t="s">
        <v>295</v>
      </c>
      <c r="D60" s="3" t="s">
        <v>296</v>
      </c>
      <c r="E60" s="3" t="s">
        <v>297</v>
      </c>
      <c r="F60" s="3" t="s">
        <v>298</v>
      </c>
      <c r="G60" s="3" t="s">
        <v>21</v>
      </c>
      <c r="H60" s="3" t="s">
        <v>21</v>
      </c>
      <c r="I60" s="3" t="s">
        <v>22</v>
      </c>
      <c r="J60" s="3" t="s">
        <v>23</v>
      </c>
      <c r="K60" s="3">
        <v>1</v>
      </c>
      <c r="L60" s="3" t="s">
        <v>24</v>
      </c>
    </row>
    <row r="61" spans="1:12">
      <c r="A61" s="3" t="s">
        <v>299</v>
      </c>
      <c r="B61" s="3" t="s">
        <v>300</v>
      </c>
      <c r="C61" s="3" t="s">
        <v>301</v>
      </c>
      <c r="D61" s="3" t="s">
        <v>296</v>
      </c>
      <c r="E61" s="3" t="s">
        <v>297</v>
      </c>
      <c r="F61" s="3" t="s">
        <v>302</v>
      </c>
      <c r="G61" s="3" t="s">
        <v>21</v>
      </c>
      <c r="H61" s="3" t="s">
        <v>303</v>
      </c>
      <c r="I61" s="3" t="s">
        <v>22</v>
      </c>
      <c r="J61" s="3" t="s">
        <v>23</v>
      </c>
      <c r="K61" s="3">
        <v>5</v>
      </c>
      <c r="L61" s="3" t="s">
        <v>24</v>
      </c>
    </row>
    <row r="62" spans="1:12">
      <c r="A62" s="3" t="s">
        <v>304</v>
      </c>
      <c r="B62" s="3" t="s">
        <v>305</v>
      </c>
      <c r="C62" s="3" t="s">
        <v>306</v>
      </c>
      <c r="D62" s="3" t="s">
        <v>296</v>
      </c>
      <c r="E62" s="3" t="s">
        <v>297</v>
      </c>
      <c r="F62" s="3" t="s">
        <v>307</v>
      </c>
      <c r="G62" s="3" t="s">
        <v>21</v>
      </c>
      <c r="H62" s="3" t="s">
        <v>21</v>
      </c>
      <c r="I62" s="3" t="s">
        <v>22</v>
      </c>
      <c r="J62" s="3" t="s">
        <v>23</v>
      </c>
      <c r="K62" s="3">
        <v>2</v>
      </c>
      <c r="L62" s="3" t="s">
        <v>24</v>
      </c>
    </row>
    <row r="63" spans="1:12">
      <c r="A63" s="3" t="s">
        <v>308</v>
      </c>
      <c r="B63" s="3" t="s">
        <v>309</v>
      </c>
      <c r="C63" s="3" t="s">
        <v>310</v>
      </c>
      <c r="D63" s="3" t="s">
        <v>296</v>
      </c>
      <c r="E63" s="3" t="s">
        <v>311</v>
      </c>
      <c r="F63" s="3" t="s">
        <v>312</v>
      </c>
      <c r="G63" s="3" t="s">
        <v>21</v>
      </c>
      <c r="H63" s="3" t="s">
        <v>313</v>
      </c>
      <c r="I63" s="3" t="s">
        <v>33</v>
      </c>
      <c r="J63" s="3" t="s">
        <v>23</v>
      </c>
      <c r="K63" s="3">
        <v>3</v>
      </c>
      <c r="L63" s="3" t="s">
        <v>24</v>
      </c>
    </row>
    <row r="64" spans="1:12">
      <c r="A64" s="3" t="s">
        <v>314</v>
      </c>
      <c r="B64" s="3" t="s">
        <v>315</v>
      </c>
      <c r="C64" s="3" t="s">
        <v>316</v>
      </c>
      <c r="D64" s="3" t="s">
        <v>296</v>
      </c>
      <c r="E64" s="3" t="s">
        <v>297</v>
      </c>
      <c r="F64" s="3" t="s">
        <v>317</v>
      </c>
      <c r="G64" s="3" t="s">
        <v>21</v>
      </c>
      <c r="H64" s="3" t="s">
        <v>318</v>
      </c>
      <c r="I64" s="3" t="s">
        <v>33</v>
      </c>
      <c r="J64" s="3" t="s">
        <v>23</v>
      </c>
      <c r="K64" s="3">
        <v>2</v>
      </c>
      <c r="L64" s="3" t="s">
        <v>24</v>
      </c>
    </row>
    <row r="65" spans="1:12">
      <c r="A65" s="3" t="s">
        <v>319</v>
      </c>
      <c r="B65" s="3" t="s">
        <v>320</v>
      </c>
      <c r="C65" s="3" t="s">
        <v>321</v>
      </c>
      <c r="D65" s="3" t="s">
        <v>296</v>
      </c>
      <c r="E65" s="3" t="s">
        <v>191</v>
      </c>
      <c r="F65" s="3" t="s">
        <v>322</v>
      </c>
      <c r="G65" s="3" t="s">
        <v>207</v>
      </c>
      <c r="H65" s="3" t="s">
        <v>21</v>
      </c>
      <c r="I65" s="3" t="s">
        <v>33</v>
      </c>
      <c r="J65" s="3" t="s">
        <v>23</v>
      </c>
      <c r="K65" s="3">
        <v>1</v>
      </c>
      <c r="L65" s="3" t="s">
        <v>24</v>
      </c>
    </row>
    <row r="66" spans="1:12">
      <c r="A66" s="3" t="s">
        <v>323</v>
      </c>
      <c r="B66" s="3" t="s">
        <v>324</v>
      </c>
      <c r="C66" s="3" t="s">
        <v>325</v>
      </c>
      <c r="D66" s="3" t="s">
        <v>326</v>
      </c>
      <c r="E66" s="3" t="s">
        <v>327</v>
      </c>
      <c r="F66" s="3" t="s">
        <v>328</v>
      </c>
      <c r="G66" s="3" t="s">
        <v>329</v>
      </c>
      <c r="H66" s="3" t="s">
        <v>21</v>
      </c>
      <c r="I66" s="3" t="s">
        <v>22</v>
      </c>
      <c r="J66" s="3" t="s">
        <v>23</v>
      </c>
      <c r="K66" s="3">
        <v>1</v>
      </c>
      <c r="L66" s="3" t="s">
        <v>24</v>
      </c>
    </row>
    <row r="67" spans="1:12">
      <c r="A67" s="3" t="s">
        <v>330</v>
      </c>
      <c r="B67" s="3" t="s">
        <v>331</v>
      </c>
      <c r="C67" s="3" t="s">
        <v>332</v>
      </c>
      <c r="D67" s="3" t="s">
        <v>326</v>
      </c>
      <c r="E67" s="3" t="s">
        <v>327</v>
      </c>
      <c r="F67" s="3" t="s">
        <v>333</v>
      </c>
      <c r="G67" s="3" t="s">
        <v>334</v>
      </c>
      <c r="H67" s="3" t="s">
        <v>21</v>
      </c>
      <c r="I67" s="3" t="s">
        <v>22</v>
      </c>
      <c r="J67" s="3" t="s">
        <v>23</v>
      </c>
      <c r="K67" s="3">
        <v>1</v>
      </c>
      <c r="L67" s="3" t="s">
        <v>24</v>
      </c>
    </row>
    <row r="68" spans="1:12">
      <c r="A68" s="3" t="s">
        <v>335</v>
      </c>
      <c r="B68" s="3" t="s">
        <v>336</v>
      </c>
      <c r="C68" s="3" t="s">
        <v>337</v>
      </c>
      <c r="D68" s="3" t="s">
        <v>326</v>
      </c>
      <c r="E68" s="3" t="s">
        <v>338</v>
      </c>
      <c r="F68" s="3" t="s">
        <v>339</v>
      </c>
      <c r="G68" s="3" t="s">
        <v>21</v>
      </c>
      <c r="H68" s="3" t="s">
        <v>340</v>
      </c>
      <c r="I68" s="3" t="s">
        <v>91</v>
      </c>
      <c r="J68" s="3" t="s">
        <v>23</v>
      </c>
      <c r="K68" s="3">
        <v>1</v>
      </c>
      <c r="L68" s="3" t="s">
        <v>24</v>
      </c>
    </row>
    <row r="69" spans="1:12">
      <c r="A69" s="3" t="s">
        <v>341</v>
      </c>
      <c r="B69" s="3" t="s">
        <v>342</v>
      </c>
      <c r="C69" s="3" t="s">
        <v>343</v>
      </c>
      <c r="D69" s="3" t="s">
        <v>326</v>
      </c>
      <c r="E69" s="3" t="s">
        <v>344</v>
      </c>
      <c r="F69" s="3" t="s">
        <v>345</v>
      </c>
      <c r="G69" s="3" t="s">
        <v>346</v>
      </c>
      <c r="H69" s="3" t="s">
        <v>347</v>
      </c>
      <c r="I69" s="3" t="s">
        <v>33</v>
      </c>
      <c r="J69" s="3" t="s">
        <v>23</v>
      </c>
      <c r="K69" s="3">
        <v>2</v>
      </c>
      <c r="L69" s="3" t="s">
        <v>24</v>
      </c>
    </row>
    <row r="70" spans="1:12">
      <c r="A70" s="3" t="s">
        <v>348</v>
      </c>
      <c r="B70" s="3" t="s">
        <v>349</v>
      </c>
      <c r="C70" s="3" t="s">
        <v>350</v>
      </c>
      <c r="D70" s="3" t="s">
        <v>351</v>
      </c>
      <c r="E70" s="3" t="s">
        <v>58</v>
      </c>
      <c r="F70" s="3" t="s">
        <v>21</v>
      </c>
      <c r="G70" s="3" t="s">
        <v>352</v>
      </c>
      <c r="H70" s="3" t="s">
        <v>21</v>
      </c>
      <c r="I70" s="3" t="s">
        <v>22</v>
      </c>
      <c r="J70" s="3" t="s">
        <v>23</v>
      </c>
      <c r="K70" s="3">
        <v>2</v>
      </c>
      <c r="L70" s="3" t="s">
        <v>24</v>
      </c>
    </row>
    <row r="71" spans="1:12">
      <c r="A71" s="3" t="s">
        <v>353</v>
      </c>
      <c r="B71" s="3" t="s">
        <v>354</v>
      </c>
      <c r="C71" s="3" t="s">
        <v>355</v>
      </c>
      <c r="D71" s="3" t="s">
        <v>351</v>
      </c>
      <c r="E71" s="3" t="s">
        <v>58</v>
      </c>
      <c r="F71" s="3" t="s">
        <v>356</v>
      </c>
      <c r="G71" s="3" t="s">
        <v>352</v>
      </c>
      <c r="H71" s="3" t="s">
        <v>21</v>
      </c>
      <c r="I71" s="3" t="s">
        <v>22</v>
      </c>
      <c r="J71" s="3" t="s">
        <v>23</v>
      </c>
      <c r="K71" s="3">
        <v>3</v>
      </c>
      <c r="L71" s="3" t="s">
        <v>24</v>
      </c>
    </row>
    <row r="72" spans="1:12">
      <c r="A72" s="3" t="s">
        <v>357</v>
      </c>
      <c r="B72" s="3" t="s">
        <v>358</v>
      </c>
      <c r="C72" s="3" t="s">
        <v>359</v>
      </c>
      <c r="D72" s="3" t="s">
        <v>351</v>
      </c>
      <c r="E72" s="3" t="s">
        <v>58</v>
      </c>
      <c r="F72" s="3" t="s">
        <v>360</v>
      </c>
      <c r="G72" s="3" t="s">
        <v>352</v>
      </c>
      <c r="H72" s="3" t="s">
        <v>21</v>
      </c>
      <c r="I72" s="3" t="s">
        <v>22</v>
      </c>
      <c r="J72" s="3" t="s">
        <v>23</v>
      </c>
      <c r="K72" s="3">
        <v>1</v>
      </c>
      <c r="L72" s="3" t="s">
        <v>24</v>
      </c>
    </row>
    <row r="73" spans="1:12">
      <c r="A73" s="3" t="s">
        <v>361</v>
      </c>
      <c r="B73" s="3" t="s">
        <v>362</v>
      </c>
      <c r="C73" s="3" t="s">
        <v>363</v>
      </c>
      <c r="D73" s="3" t="s">
        <v>351</v>
      </c>
      <c r="E73" s="3" t="s">
        <v>364</v>
      </c>
      <c r="F73" s="3" t="s">
        <v>365</v>
      </c>
      <c r="G73" s="3" t="s">
        <v>352</v>
      </c>
      <c r="H73" s="3" t="s">
        <v>21</v>
      </c>
      <c r="I73" s="3" t="s">
        <v>22</v>
      </c>
      <c r="J73" s="3" t="s">
        <v>23</v>
      </c>
      <c r="K73" s="3">
        <v>1</v>
      </c>
      <c r="L73" s="3" t="s">
        <v>24</v>
      </c>
    </row>
    <row r="74" spans="1:12">
      <c r="A74" s="3" t="s">
        <v>366</v>
      </c>
      <c r="B74" s="3" t="s">
        <v>367</v>
      </c>
      <c r="C74" s="3" t="s">
        <v>368</v>
      </c>
      <c r="D74" s="3" t="s">
        <v>351</v>
      </c>
      <c r="E74" s="3" t="s">
        <v>364</v>
      </c>
      <c r="F74" s="3" t="s">
        <v>369</v>
      </c>
      <c r="G74" s="3" t="s">
        <v>370</v>
      </c>
      <c r="H74" s="3" t="s">
        <v>21</v>
      </c>
      <c r="I74" s="3" t="s">
        <v>22</v>
      </c>
      <c r="J74" s="3" t="s">
        <v>23</v>
      </c>
      <c r="K74" s="3">
        <v>1</v>
      </c>
      <c r="L74" s="3" t="s">
        <v>24</v>
      </c>
    </row>
    <row r="75" spans="1:12">
      <c r="A75" s="3" t="s">
        <v>371</v>
      </c>
      <c r="B75" s="3" t="s">
        <v>372</v>
      </c>
      <c r="C75" s="3" t="s">
        <v>373</v>
      </c>
      <c r="D75" s="3" t="s">
        <v>351</v>
      </c>
      <c r="E75" s="3" t="s">
        <v>52</v>
      </c>
      <c r="F75" s="3" t="s">
        <v>374</v>
      </c>
      <c r="G75" s="3" t="s">
        <v>352</v>
      </c>
      <c r="H75" s="3" t="s">
        <v>21</v>
      </c>
      <c r="I75" s="3" t="s">
        <v>22</v>
      </c>
      <c r="J75" s="3" t="s">
        <v>23</v>
      </c>
      <c r="K75" s="3">
        <v>1</v>
      </c>
      <c r="L75" s="3" t="s">
        <v>24</v>
      </c>
    </row>
    <row r="76" spans="1:12">
      <c r="A76" s="3" t="s">
        <v>375</v>
      </c>
      <c r="B76" s="3" t="s">
        <v>376</v>
      </c>
      <c r="C76" s="3" t="s">
        <v>377</v>
      </c>
      <c r="D76" s="3" t="s">
        <v>351</v>
      </c>
      <c r="E76" s="3" t="s">
        <v>364</v>
      </c>
      <c r="F76" s="3" t="s">
        <v>378</v>
      </c>
      <c r="G76" s="3" t="s">
        <v>379</v>
      </c>
      <c r="H76" s="3" t="s">
        <v>21</v>
      </c>
      <c r="I76" s="3" t="s">
        <v>22</v>
      </c>
      <c r="J76" s="3" t="s">
        <v>23</v>
      </c>
      <c r="K76" s="3">
        <v>2</v>
      </c>
      <c r="L76" s="3" t="s">
        <v>24</v>
      </c>
    </row>
    <row r="77" spans="1:12">
      <c r="A77" s="3" t="s">
        <v>380</v>
      </c>
      <c r="B77" s="3" t="s">
        <v>381</v>
      </c>
      <c r="C77" s="3" t="s">
        <v>382</v>
      </c>
      <c r="D77" s="3" t="s">
        <v>351</v>
      </c>
      <c r="E77" s="3" t="s">
        <v>383</v>
      </c>
      <c r="F77" s="3" t="s">
        <v>384</v>
      </c>
      <c r="G77" s="3" t="s">
        <v>21</v>
      </c>
      <c r="H77" s="3" t="s">
        <v>385</v>
      </c>
      <c r="I77" s="3" t="s">
        <v>22</v>
      </c>
      <c r="J77" s="3" t="s">
        <v>23</v>
      </c>
      <c r="K77" s="3">
        <v>1</v>
      </c>
      <c r="L77" s="3" t="s">
        <v>24</v>
      </c>
    </row>
    <row r="79" spans="1:12">
      <c r="A79" s="4" t="s">
        <v>386</v>
      </c>
      <c r="B79" s="4" t="str">
        <f>COUNTA(B5:B77)&amp;" stories"</f>
        <v>73 stories</v>
      </c>
      <c r="K79" s="5">
        <f>SUM(K5:K77)</f>
        <v>136</v>
      </c>
    </row>
  </sheetData>
  <mergeCells count="2">
    <mergeCell ref="A1:L1"/>
    <mergeCell ref="A2:L2"/>
  </mergeCells>
  <conditionalFormatting sqref="I5:I77">
    <cfRule type="cellIs" dxfId="2" priority="2" operator="equal">
      <formula>"P0"</formula>
    </cfRule>
    <cfRule type="cellIs" dxfId="1" priority="3" operator="equal">
      <formula>"P1"</formula>
    </cfRule>
    <cfRule type="cellIs" dxfId="0" priority="4" operator="equal">
      <formula>"P2"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tabSelected="1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34" customWidth="1"/>
    <col min="2" max="4" width="12" customWidth="1"/>
  </cols>
  <sheetData>
    <row r="1" spans="1:4" ht="17.45">
      <c r="A1" s="9" t="s">
        <v>387</v>
      </c>
      <c r="B1" s="9"/>
      <c r="C1" s="9"/>
      <c r="D1" s="9"/>
    </row>
    <row r="3" spans="1:4">
      <c r="A3" s="2" t="s">
        <v>5</v>
      </c>
      <c r="B3" s="2" t="s">
        <v>388</v>
      </c>
      <c r="C3" s="2" t="s">
        <v>389</v>
      </c>
      <c r="D3" s="2" t="s">
        <v>390</v>
      </c>
    </row>
    <row r="4" spans="1:4">
      <c r="A4" s="3" t="s">
        <v>391</v>
      </c>
      <c r="B4" s="3">
        <v>4</v>
      </c>
      <c r="C4" s="3">
        <f>COUNTIFS(RTM!D:D,"E1*",RTM!I:I,"P0")</f>
        <v>24</v>
      </c>
      <c r="D4" s="3">
        <f>SUMIFS(RTM!K:K,RTM!D:D,"E1*")</f>
        <v>54</v>
      </c>
    </row>
    <row r="5" spans="1:4">
      <c r="A5" s="3" t="s">
        <v>392</v>
      </c>
      <c r="B5" s="3">
        <v>5</v>
      </c>
      <c r="C5" s="3">
        <f>COUNTIFS(RTM!D:D,"E2*",RTM!I:I,"P0")</f>
        <v>4</v>
      </c>
      <c r="D5" s="3">
        <f>SUMIFS(RTM!K:K,RTM!D:D,"E2*")</f>
        <v>11</v>
      </c>
    </row>
    <row r="6" spans="1:4">
      <c r="A6" s="3" t="s">
        <v>393</v>
      </c>
      <c r="B6" s="3">
        <v>8</v>
      </c>
      <c r="C6" s="3">
        <f>COUNTIFS(RTM!D:D,"E3*",RTM!I:I,"P0")</f>
        <v>6</v>
      </c>
      <c r="D6" s="3">
        <f>SUMIFS(RTM!K:K,RTM!D:D,"E3*")</f>
        <v>15</v>
      </c>
    </row>
    <row r="7" spans="1:4">
      <c r="A7" s="3" t="s">
        <v>394</v>
      </c>
      <c r="B7" s="3">
        <v>4</v>
      </c>
      <c r="C7" s="3">
        <f>COUNTIFS(RTM!D:D,"E4*",RTM!I:I,"P0")</f>
        <v>2</v>
      </c>
      <c r="D7" s="3">
        <f>SUMIFS(RTM!K:K,RTM!D:D,"E4*")</f>
        <v>6</v>
      </c>
    </row>
    <row r="8" spans="1:4">
      <c r="A8" s="3" t="s">
        <v>395</v>
      </c>
      <c r="B8" s="3">
        <v>7</v>
      </c>
      <c r="C8" s="3">
        <f>COUNTIFS(RTM!D:D,"E5*",RTM!I:I,"P0")</f>
        <v>6</v>
      </c>
      <c r="D8" s="3">
        <f>SUMIFS(RTM!K:K,RTM!D:D,"E5*")</f>
        <v>14</v>
      </c>
    </row>
    <row r="9" spans="1:4">
      <c r="A9" s="3" t="s">
        <v>396</v>
      </c>
      <c r="B9" s="3">
        <v>3</v>
      </c>
      <c r="C9" s="3">
        <f>COUNTIFS(RTM!D:D,"E6*",RTM!I:I,"P0")</f>
        <v>2</v>
      </c>
      <c r="D9" s="3">
        <f>SUMIFS(RTM!K:K,RTM!D:D,"E6*")</f>
        <v>4</v>
      </c>
    </row>
    <row r="10" spans="1:4">
      <c r="A10" s="3" t="s">
        <v>397</v>
      </c>
      <c r="B10" s="3">
        <v>4</v>
      </c>
      <c r="C10" s="3">
        <f>COUNTIFS(RTM!D:D,"E7*",RTM!I:I,"P0")</f>
        <v>2</v>
      </c>
      <c r="D10" s="3">
        <f>SUMIFS(RTM!K:K,RTM!D:D,"E7*")</f>
        <v>7</v>
      </c>
    </row>
    <row r="11" spans="1:4">
      <c r="A11" s="3" t="s">
        <v>398</v>
      </c>
      <c r="B11" s="3">
        <v>6</v>
      </c>
      <c r="C11" s="3">
        <f>COUNTIFS(RTM!D:D,"E8*",RTM!I:I,"P0")</f>
        <v>4</v>
      </c>
      <c r="D11" s="3">
        <f>SUMIFS(RTM!K:K,RTM!D:D,"E8*")</f>
        <v>17</v>
      </c>
    </row>
    <row r="12" spans="1:4">
      <c r="A12" s="3" t="s">
        <v>399</v>
      </c>
      <c r="B12" s="3">
        <v>4</v>
      </c>
      <c r="C12" s="3">
        <f>COUNTIFS(RTM!D:D,"E9*",RTM!I:I,"P0")</f>
        <v>3</v>
      </c>
      <c r="D12" s="3">
        <f>SUMIFS(RTM!K:K,RTM!D:D,"E9*")</f>
        <v>8</v>
      </c>
    </row>
    <row r="13" spans="1:4">
      <c r="A13" s="3" t="s">
        <v>400</v>
      </c>
      <c r="B13" s="3">
        <v>5</v>
      </c>
      <c r="C13" s="3">
        <f>COUNTIFS(RTM!D:D,"E10*",RTM!I:I,"P0")</f>
        <v>4</v>
      </c>
      <c r="D13" s="3">
        <f>SUMIFS(RTM!K:K,RTM!D:D,"E10*")</f>
        <v>7</v>
      </c>
    </row>
    <row r="14" spans="1:4">
      <c r="A14" s="3" t="s">
        <v>401</v>
      </c>
      <c r="B14" s="3">
        <v>5</v>
      </c>
      <c r="C14" s="3">
        <f>COUNTIFS(RTM!D:D,"E11*",RTM!I:I,"P0")</f>
        <v>4</v>
      </c>
      <c r="D14" s="3">
        <f>SUMIFS(RTM!K:K,RTM!D:D,"E11*")</f>
        <v>8</v>
      </c>
    </row>
    <row r="15" spans="1:4">
      <c r="A15" s="3" t="s">
        <v>402</v>
      </c>
      <c r="B15" s="3">
        <v>6</v>
      </c>
      <c r="C15" s="3">
        <f>COUNTIFS(RTM!D:D,"E12*",RTM!I:I,"P0")</f>
        <v>3</v>
      </c>
      <c r="D15" s="3">
        <f>SUMIFS(RTM!K:K,RTM!D:D,"E12*")</f>
        <v>14</v>
      </c>
    </row>
    <row r="16" spans="1:4">
      <c r="A16" s="3" t="s">
        <v>403</v>
      </c>
      <c r="B16" s="3">
        <v>4</v>
      </c>
      <c r="C16" s="3">
        <f>COUNTIFS(RTM!D:D,"E13*",RTM!I:I,"P0")</f>
        <v>2</v>
      </c>
      <c r="D16" s="3">
        <f>SUMIFS(RTM!K:K,RTM!D:D,"E13*")</f>
        <v>5</v>
      </c>
    </row>
    <row r="17" spans="1:4">
      <c r="A17" s="3" t="s">
        <v>404</v>
      </c>
      <c r="B17" s="3">
        <v>8</v>
      </c>
      <c r="C17" s="3">
        <f>COUNTIFS(RTM!D:D,"E14*",RTM!I:I,"P0")</f>
        <v>8</v>
      </c>
      <c r="D17" s="3">
        <f>SUMIFS(RTM!K:K,RTM!D:D,"E14*")</f>
        <v>12</v>
      </c>
    </row>
    <row r="18" spans="1:4">
      <c r="A18" s="6" t="s">
        <v>386</v>
      </c>
      <c r="B18" s="6">
        <f>SUM(B4:B17)</f>
        <v>73</v>
      </c>
      <c r="C18" s="6">
        <f>SUM(C4:C17)</f>
        <v>74</v>
      </c>
      <c r="D18" s="6">
        <f>SUM(D4:D17)</f>
        <v>182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2" customWidth="1"/>
    <col min="2" max="2" width="10" customWidth="1"/>
    <col min="3" max="3" width="60" customWidth="1"/>
  </cols>
  <sheetData>
    <row r="1" spans="1:3" ht="17.45">
      <c r="A1" s="9" t="s">
        <v>405</v>
      </c>
      <c r="B1" s="9"/>
      <c r="C1" s="9"/>
    </row>
    <row r="3" spans="1:3">
      <c r="A3" s="2" t="s">
        <v>10</v>
      </c>
      <c r="B3" s="2" t="s">
        <v>406</v>
      </c>
      <c r="C3" s="2" t="s">
        <v>407</v>
      </c>
    </row>
    <row r="4" spans="1:3">
      <c r="A4" s="3" t="s">
        <v>22</v>
      </c>
      <c r="B4" s="3">
        <f>COUNTIF(RTM!I:I,"P0")</f>
        <v>53</v>
      </c>
      <c r="C4" s="3" t="s">
        <v>408</v>
      </c>
    </row>
    <row r="5" spans="1:3">
      <c r="A5" s="3" t="s">
        <v>33</v>
      </c>
      <c r="B5" s="3">
        <f>COUNTIF(RTM!I:I,"P1")</f>
        <v>17</v>
      </c>
      <c r="C5" s="3" t="s">
        <v>409</v>
      </c>
    </row>
    <row r="6" spans="1:3">
      <c r="A6" s="3" t="s">
        <v>91</v>
      </c>
      <c r="B6" s="3">
        <f>COUNTIF(RTM!I:I,"P2")</f>
        <v>3</v>
      </c>
      <c r="C6" s="3" t="s">
        <v>410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zoomScaleNormal="100" workbookViewId="0">
      <pane ySplit="3" topLeftCell="A12" activePane="bottomLeft" state="frozen"/>
      <selection pane="bottomLeft"/>
    </sheetView>
  </sheetViews>
  <sheetFormatPr defaultColWidth="8.7109375" defaultRowHeight="15"/>
  <cols>
    <col min="1" max="1" width="16" customWidth="1"/>
    <col min="2" max="2" width="65" customWidth="1"/>
    <col min="3" max="3" width="32" customWidth="1"/>
  </cols>
  <sheetData>
    <row r="1" spans="1:3" ht="17.45">
      <c r="A1" s="1" t="s">
        <v>411</v>
      </c>
    </row>
    <row r="3" spans="1:3">
      <c r="A3" s="2" t="s">
        <v>412</v>
      </c>
      <c r="B3" s="2" t="s">
        <v>407</v>
      </c>
      <c r="C3" s="2" t="s">
        <v>413</v>
      </c>
    </row>
    <row r="4" spans="1:3">
      <c r="A4" s="3" t="s">
        <v>414</v>
      </c>
      <c r="B4" s="3" t="s">
        <v>415</v>
      </c>
      <c r="C4" s="3" t="s">
        <v>416</v>
      </c>
    </row>
    <row r="5" spans="1:3">
      <c r="A5" s="3" t="s">
        <v>417</v>
      </c>
      <c r="B5" s="3" t="s">
        <v>418</v>
      </c>
      <c r="C5" s="3" t="s">
        <v>419</v>
      </c>
    </row>
    <row r="6" spans="1:3">
      <c r="A6" s="3" t="s">
        <v>420</v>
      </c>
      <c r="B6" s="3" t="s">
        <v>421</v>
      </c>
      <c r="C6" s="3" t="s">
        <v>419</v>
      </c>
    </row>
    <row r="7" spans="1:3">
      <c r="A7" s="3" t="s">
        <v>422</v>
      </c>
      <c r="B7" s="3" t="s">
        <v>423</v>
      </c>
      <c r="C7" s="3" t="s">
        <v>424</v>
      </c>
    </row>
    <row r="8" spans="1:3">
      <c r="A8" s="3" t="s">
        <v>425</v>
      </c>
      <c r="B8" s="3" t="s">
        <v>426</v>
      </c>
      <c r="C8" s="3" t="s">
        <v>427</v>
      </c>
    </row>
    <row r="9" spans="1:3">
      <c r="A9" s="3" t="s">
        <v>428</v>
      </c>
      <c r="B9" s="3" t="s">
        <v>429</v>
      </c>
      <c r="C9" s="3" t="s">
        <v>430</v>
      </c>
    </row>
    <row r="10" spans="1:3">
      <c r="A10" s="3" t="s">
        <v>23</v>
      </c>
      <c r="B10" s="3" t="s">
        <v>431</v>
      </c>
      <c r="C10" s="3" t="s">
        <v>432</v>
      </c>
    </row>
    <row r="11" spans="1:3">
      <c r="A11" s="3" t="s">
        <v>245</v>
      </c>
      <c r="B11" s="3" t="s">
        <v>433</v>
      </c>
      <c r="C11" s="3" t="s">
        <v>432</v>
      </c>
    </row>
    <row r="12" spans="1:3">
      <c r="A12" s="3" t="s">
        <v>434</v>
      </c>
      <c r="B12" s="3" t="s">
        <v>435</v>
      </c>
      <c r="C12" s="3" t="s">
        <v>432</v>
      </c>
    </row>
    <row r="13" spans="1:3">
      <c r="A13" s="3" t="s">
        <v>436</v>
      </c>
      <c r="B13" s="3" t="s">
        <v>437</v>
      </c>
      <c r="C13" s="3" t="s">
        <v>432</v>
      </c>
    </row>
    <row r="16" spans="1:3">
      <c r="A16" s="7" t="s">
        <v>438</v>
      </c>
    </row>
    <row r="17" spans="1:2">
      <c r="A17" s="8" t="s">
        <v>13</v>
      </c>
      <c r="B17" s="8" t="s">
        <v>407</v>
      </c>
    </row>
    <row r="18" spans="1:2">
      <c r="A18" s="3" t="s">
        <v>24</v>
      </c>
      <c r="B18" s="3" t="s">
        <v>439</v>
      </c>
    </row>
    <row r="19" spans="1:2">
      <c r="A19" s="3" t="s">
        <v>440</v>
      </c>
      <c r="B19" s="3" t="s">
        <v>441</v>
      </c>
    </row>
    <row r="20" spans="1:2">
      <c r="A20" s="3" t="s">
        <v>442</v>
      </c>
      <c r="B20" s="3" t="s">
        <v>443</v>
      </c>
    </row>
    <row r="21" spans="1:2">
      <c r="A21" s="3" t="s">
        <v>444</v>
      </c>
      <c r="B21" s="3" t="s">
        <v>445</v>
      </c>
    </row>
    <row r="22" spans="1:2">
      <c r="A22" s="3" t="s">
        <v>446</v>
      </c>
      <c r="B22" s="3" t="s">
        <v>447</v>
      </c>
    </row>
    <row r="23" spans="1:2">
      <c r="A23" s="3" t="s">
        <v>448</v>
      </c>
      <c r="B23" s="3" t="s">
        <v>449</v>
      </c>
    </row>
    <row r="24" spans="1:2">
      <c r="A24" s="3" t="s">
        <v>450</v>
      </c>
      <c r="B24" s="3" t="s">
        <v>451</v>
      </c>
    </row>
    <row r="25" spans="1:2">
      <c r="A25" s="3" t="s">
        <v>452</v>
      </c>
      <c r="B25" s="3" t="s">
        <v>453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>0</cp:revision>
  <dcterms:created xsi:type="dcterms:W3CDTF">2026-06-08T09:51:59Z</dcterms:created>
  <dcterms:modified xsi:type="dcterms:W3CDTF">2026-06-09T10:01:30Z</dcterms:modified>
  <cp:category/>
  <cp:contentStatus/>
</cp:coreProperties>
</file>